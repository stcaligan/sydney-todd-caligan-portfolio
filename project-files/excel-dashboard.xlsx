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047a71a75019b735/Documents/"/>
    </mc:Choice>
  </mc:AlternateContent>
  <xr:revisionPtr revIDLastSave="1691" documentId="8_{818857FB-5DF4-4A06-9BD1-AA78976B9774}" xr6:coauthVersionLast="47" xr6:coauthVersionMax="47" xr10:uidLastSave="{24FBC6EF-3508-4131-892E-D925181FD963}"/>
  <bookViews>
    <workbookView xWindow="-120" yWindow="-120" windowWidth="24240" windowHeight="13020" xr2:uid="{00000000-000D-0000-FFFF-FFFF00000000}"/>
  </bookViews>
  <sheets>
    <sheet name="Dashboard" sheetId="1" r:id="rId1"/>
    <sheet name="Customers" sheetId="2" r:id="rId2"/>
    <sheet name="Employees" sheetId="3" r:id="rId3"/>
    <sheet name="Inventory" sheetId="4" r:id="rId4"/>
    <sheet name="Sales" sheetId="5" r:id="rId5"/>
    <sheet name="Hardware Invoice" sheetId="6" r:id="rId6"/>
    <sheet name="Software Invoice" sheetId="7" r:id="rId7"/>
    <sheet name="Network Invoice" sheetId="8" r:id="rId8"/>
    <sheet name="SKU_Map" sheetId="10" r:id="rId9"/>
    <sheet name="Pivot_Charts" sheetId="17" r:id="rId10"/>
  </sheets>
  <definedNames>
    <definedName name="ExternalData_1" localSheetId="1" hidden="1">Customers!$A$1:$I$61</definedName>
    <definedName name="ExternalData_1" localSheetId="2" hidden="1">Employees!$A$1:$H$19</definedName>
    <definedName name="ExternalData_1" localSheetId="5" hidden="1">'Hardware Invoice'!$A$1:$J$11</definedName>
    <definedName name="ExternalData_1" localSheetId="3" hidden="1">Inventory!$A$1:$O$136</definedName>
    <definedName name="ExternalData_1" localSheetId="7" hidden="1">'Network Invoice'!$A$1:$G$9</definedName>
    <definedName name="ExternalData_1" localSheetId="6" hidden="1">'Software Invoice'!$A$1:$H$9</definedName>
    <definedName name="ExternalData_2" localSheetId="4" hidden="1">Sales!$A$1:$N$176</definedName>
    <definedName name="NativeTimeline_SaleDate">#N/A</definedName>
    <definedName name="Slicer_Category">#N/A</definedName>
    <definedName name="Slicer_PaymentMethod">#N/A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 l="1"/>
  <c r="K140"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K74" i="4"/>
</calcChain>
</file>

<file path=xl/sharedStrings.xml><?xml version="1.0" encoding="utf-8"?>
<sst xmlns="http://schemas.openxmlformats.org/spreadsheetml/2006/main" count="3281" uniqueCount="1004">
  <si>
    <t>SKU</t>
  </si>
  <si>
    <t>ProductName</t>
  </si>
  <si>
    <t>Category</t>
  </si>
  <si>
    <t>BikeType</t>
  </si>
  <si>
    <t>Model</t>
  </si>
  <si>
    <t>Version</t>
  </si>
  <si>
    <t>Size</t>
  </si>
  <si>
    <t>UnitCost</t>
  </si>
  <si>
    <t>RetailPrice</t>
  </si>
  <si>
    <t>QuantityOnHand</t>
  </si>
  <si>
    <t>Inventory Value</t>
  </si>
  <si>
    <t>ReorderLevel</t>
  </si>
  <si>
    <t>Brand</t>
  </si>
  <si>
    <t>WarehouseLocation</t>
  </si>
  <si>
    <t>Status</t>
  </si>
  <si>
    <t>E-BIKE-COMET-M-S</t>
  </si>
  <si>
    <t>Men's Comet Small</t>
  </si>
  <si>
    <t>E-Bike</t>
  </si>
  <si>
    <t>Road/Commuter</t>
  </si>
  <si>
    <t>Comet</t>
  </si>
  <si>
    <t>Men</t>
  </si>
  <si>
    <t>Small</t>
  </si>
  <si>
    <t>Rideline Power Bikes</t>
  </si>
  <si>
    <t>Aisle 1-1</t>
  </si>
  <si>
    <t>In Stock</t>
  </si>
  <si>
    <t>E-BIKE-COMET-M-M</t>
  </si>
  <si>
    <t>Men's Comet Medium</t>
  </si>
  <si>
    <t>Medium</t>
  </si>
  <si>
    <t>Aisle 1-5</t>
  </si>
  <si>
    <t>E-BIKE-COMET-M-L</t>
  </si>
  <si>
    <t>Men's Comet Large</t>
  </si>
  <si>
    <t>Large</t>
  </si>
  <si>
    <t>Aisle 4-1</t>
  </si>
  <si>
    <t>E-BIKE-COMET-W-S</t>
  </si>
  <si>
    <t>Women's Comet Small</t>
  </si>
  <si>
    <t>Women</t>
  </si>
  <si>
    <t>E-BIKE-COMET-W-M</t>
  </si>
  <si>
    <t>Women's Comet Medium</t>
  </si>
  <si>
    <t>E-BIKE-COMET-W-L</t>
  </si>
  <si>
    <t>Women's Comet Large</t>
  </si>
  <si>
    <t>Aisle 3-4</t>
  </si>
  <si>
    <t>E-BIKE-RIDGE-M-S</t>
  </si>
  <si>
    <t>Men's Ridge Small</t>
  </si>
  <si>
    <t>Mountain</t>
  </si>
  <si>
    <t>Ridge</t>
  </si>
  <si>
    <t>Aisle 3-5</t>
  </si>
  <si>
    <t>E-BIKE-RIDGE-M-M</t>
  </si>
  <si>
    <t>Men's Ridge Medium</t>
  </si>
  <si>
    <t>Aisle 2-3</t>
  </si>
  <si>
    <t>E-BIKE-RIDGE-M-L</t>
  </si>
  <si>
    <t>Men's Ridge Large</t>
  </si>
  <si>
    <t>E-BIKE-RIDGE-W-S</t>
  </si>
  <si>
    <t>Women's Ridge Small</t>
  </si>
  <si>
    <t>Aisle 4-3</t>
  </si>
  <si>
    <t>E-BIKE-RIDGE-W-M</t>
  </si>
  <si>
    <t>Women's Ridge Medium</t>
  </si>
  <si>
    <t>Aisle 3-2</t>
  </si>
  <si>
    <t>E-BIKE-RIDGE-W-L</t>
  </si>
  <si>
    <t>Women's Ridge Large</t>
  </si>
  <si>
    <t>E-BIKE-SPARK-K-S</t>
  </si>
  <si>
    <t>Kids' Spark Small</t>
  </si>
  <si>
    <t>All-Purpose</t>
  </si>
  <si>
    <t>Spark</t>
  </si>
  <si>
    <t>Kids</t>
  </si>
  <si>
    <t>E-BIKE-SPARK-K-M</t>
  </si>
  <si>
    <t>Kids' Spark Medium</t>
  </si>
  <si>
    <t>E-BIKE-SPARK-K-L</t>
  </si>
  <si>
    <t>Kids' Spark Large</t>
  </si>
  <si>
    <t>ACC-HELMET-STA</t>
  </si>
  <si>
    <t>Helmet Standard</t>
  </si>
  <si>
    <t>Accessory</t>
  </si>
  <si>
    <t>Trek</t>
  </si>
  <si>
    <t>Aisle 5-1</t>
  </si>
  <si>
    <t>ACC-HELMET-TRA</t>
  </si>
  <si>
    <t>Helmet Trail</t>
  </si>
  <si>
    <t>Specialized</t>
  </si>
  <si>
    <t>Aisle 5-2</t>
  </si>
  <si>
    <t>ACC-HELMET-COM</t>
  </si>
  <si>
    <t>Helmet Commuter</t>
  </si>
  <si>
    <t>Giro</t>
  </si>
  <si>
    <t>Aisle 5-3</t>
  </si>
  <si>
    <t>ACC-HELMET-URB</t>
  </si>
  <si>
    <t>Helmet Urban</t>
  </si>
  <si>
    <t>Bell</t>
  </si>
  <si>
    <t>Aisle 5-4</t>
  </si>
  <si>
    <t>ACC-HELMET-DEL</t>
  </si>
  <si>
    <t>Helmet Deluxe</t>
  </si>
  <si>
    <t>Topeak</t>
  </si>
  <si>
    <t>Aisle 6-1</t>
  </si>
  <si>
    <t>ACC-HELMET-COMP</t>
  </si>
  <si>
    <t>Helmet Compact</t>
  </si>
  <si>
    <t>Park Tool</t>
  </si>
  <si>
    <t>Aisle 6-2</t>
  </si>
  <si>
    <t>ACC-HELMET-BLA</t>
  </si>
  <si>
    <t>Helmet - Black</t>
  </si>
  <si>
    <t>Lezyne</t>
  </si>
  <si>
    <t>Aisle 6-3</t>
  </si>
  <si>
    <t>ACC-HELMET-WHI</t>
  </si>
  <si>
    <t>Helmet - White</t>
  </si>
  <si>
    <t>Kryptonite</t>
  </si>
  <si>
    <t>Aisle 6-4</t>
  </si>
  <si>
    <t>ACC-HELMET-RED</t>
  </si>
  <si>
    <t>Helmet - Red</t>
  </si>
  <si>
    <t>ABUS</t>
  </si>
  <si>
    <t>Aisle 7-1</t>
  </si>
  <si>
    <t>ACC-HELMET-BLU</t>
  </si>
  <si>
    <t>Helmet - Blue</t>
  </si>
  <si>
    <t>Blackburn</t>
  </si>
  <si>
    <t>Aisle 7-2</t>
  </si>
  <si>
    <t>ACC-HELMET-GRE</t>
  </si>
  <si>
    <t>Helmet - Green</t>
  </si>
  <si>
    <t>CamelBak</t>
  </si>
  <si>
    <t>Aisle 7-3</t>
  </si>
  <si>
    <t>ACC-HELMET-SIL</t>
  </si>
  <si>
    <t>Helmet - Silver</t>
  </si>
  <si>
    <t>Garmin</t>
  </si>
  <si>
    <t>Aisle 7-4</t>
  </si>
  <si>
    <t>ACC-LOCK-STA</t>
  </si>
  <si>
    <t>U-Lock Standard</t>
  </si>
  <si>
    <t>Bontrager</t>
  </si>
  <si>
    <t>Aisle 8-1</t>
  </si>
  <si>
    <t>ACC-LOCK-TRA</t>
  </si>
  <si>
    <t>U-Lock Trail</t>
  </si>
  <si>
    <t>Shimano</t>
  </si>
  <si>
    <t>Aisle 8-2</t>
  </si>
  <si>
    <t>ACC-LOCK-COM</t>
  </si>
  <si>
    <t>U-Lock Commuter</t>
  </si>
  <si>
    <t>SRAM</t>
  </si>
  <si>
    <t>Aisle 8-3</t>
  </si>
  <si>
    <t>ACC-LOCK-URB</t>
  </si>
  <si>
    <t>U-Lock Urban</t>
  </si>
  <si>
    <t>Thule</t>
  </si>
  <si>
    <t>Aisle 8-4</t>
  </si>
  <si>
    <t>ACC-LOCK-DEL</t>
  </si>
  <si>
    <t>U-Lock Deluxe</t>
  </si>
  <si>
    <t>Ortlieb</t>
  </si>
  <si>
    <t>Aisle 9-1</t>
  </si>
  <si>
    <t>U-Lock Compact</t>
  </si>
  <si>
    <t>RockShox</t>
  </si>
  <si>
    <t>Aisle 9-2</t>
  </si>
  <si>
    <t>ACC-LOCK-BLA</t>
  </si>
  <si>
    <t>U-Lock - Black</t>
  </si>
  <si>
    <t>Fox Racing</t>
  </si>
  <si>
    <t>Aisle 9-3</t>
  </si>
  <si>
    <t>ACC-LOCK-WHI</t>
  </si>
  <si>
    <t>U-Lock - White</t>
  </si>
  <si>
    <t>Continental</t>
  </si>
  <si>
    <t>Aisle 9-4</t>
  </si>
  <si>
    <t>ACC-LOCK-RED</t>
  </si>
  <si>
    <t>U-Lock - Red</t>
  </si>
  <si>
    <t>Aisle 10-1</t>
  </si>
  <si>
    <t>ACC-LOCK-BLU</t>
  </si>
  <si>
    <t>U-Lock - Blue</t>
  </si>
  <si>
    <t>Aisle 10-2</t>
  </si>
  <si>
    <t>ACC-LOCK-GRE</t>
  </si>
  <si>
    <t>U-Lock - Green</t>
  </si>
  <si>
    <t>Aisle 10-3</t>
  </si>
  <si>
    <t>ACC-LOCK-SIL</t>
  </si>
  <si>
    <t>U-Lock - Silver</t>
  </si>
  <si>
    <t>Aisle 10-4</t>
  </si>
  <si>
    <t>ACC-LIGHT-STA</t>
  </si>
  <si>
    <t>LED Light Set Standard</t>
  </si>
  <si>
    <t>ACC-LIGHT-TRA</t>
  </si>
  <si>
    <t>LED Light Set Trail</t>
  </si>
  <si>
    <t>ACC-LIGHT-COM</t>
  </si>
  <si>
    <t>LED Light Set Commuter</t>
  </si>
  <si>
    <t>ACC-LIGHT-URB</t>
  </si>
  <si>
    <t>LED Light Set Urban</t>
  </si>
  <si>
    <t>ACC-LIGHT-DEL</t>
  </si>
  <si>
    <t>LED Light Set Deluxe</t>
  </si>
  <si>
    <t>LED Light Set Compact</t>
  </si>
  <si>
    <t>ACC-LIGHT-BLA</t>
  </si>
  <si>
    <t>LED Light Set - Black</t>
  </si>
  <si>
    <t>ACC-LIGHT-WHI</t>
  </si>
  <si>
    <t>LED Light Set - White</t>
  </si>
  <si>
    <t>ACC-LIGHT-RED</t>
  </si>
  <si>
    <t>LED Light Set - Red</t>
  </si>
  <si>
    <t>ACC-LIGHT-BLU</t>
  </si>
  <si>
    <t>LED Light Set - Blue</t>
  </si>
  <si>
    <t>ACC-LIGHT-GRE</t>
  </si>
  <si>
    <t>LED Light Set - Green</t>
  </si>
  <si>
    <t>ACC-LIGHT-SIL</t>
  </si>
  <si>
    <t>LED Light Set - Silver</t>
  </si>
  <si>
    <t>ACC-PUMP-STA</t>
  </si>
  <si>
    <t>Mini Pump Standard</t>
  </si>
  <si>
    <t>ACC-PUMP-TRA</t>
  </si>
  <si>
    <t>Mini Pump Trail</t>
  </si>
  <si>
    <t>ACC-PUMP-COM</t>
  </si>
  <si>
    <t>Mini Pump Commuter</t>
  </si>
  <si>
    <t>ACC-PUMP-URB</t>
  </si>
  <si>
    <t>Mini Pump Urban</t>
  </si>
  <si>
    <t>ACC-PUMP-DEL</t>
  </si>
  <si>
    <t>Mini Pump Deluxe</t>
  </si>
  <si>
    <t>Mini Pump Compact</t>
  </si>
  <si>
    <t>ACC-PUMP-BLA</t>
  </si>
  <si>
    <t>Mini Pump - Black</t>
  </si>
  <si>
    <t>ACC-PUMP-WHI</t>
  </si>
  <si>
    <t>Mini Pump - White</t>
  </si>
  <si>
    <t>ACC-PUMP-RED</t>
  </si>
  <si>
    <t>Mini Pump - Red</t>
  </si>
  <si>
    <t>ACC-PUMP-BLU</t>
  </si>
  <si>
    <t>Mini Pump - Blue</t>
  </si>
  <si>
    <t>ACC-PUMP-GRE</t>
  </si>
  <si>
    <t>Mini Pump - Green</t>
  </si>
  <si>
    <t>ACC-PUMP-SIL</t>
  </si>
  <si>
    <t>Mini Pump - Silver</t>
  </si>
  <si>
    <t>ACC-BAG-STA</t>
  </si>
  <si>
    <t>Pannier Bag Standard</t>
  </si>
  <si>
    <t>ACC-BAG-TRA</t>
  </si>
  <si>
    <t>Pannier Bag Trail</t>
  </si>
  <si>
    <t>Pannier Bag Commuter</t>
  </si>
  <si>
    <t>ACC-BAG-URB</t>
  </si>
  <si>
    <t>Pannier Bag Urban</t>
  </si>
  <si>
    <t>ACC-BAG-DEL</t>
  </si>
  <si>
    <t>Pannier Bag Deluxe</t>
  </si>
  <si>
    <t>Pannier Bag Compact</t>
  </si>
  <si>
    <t>ACC-BAG-BLA</t>
  </si>
  <si>
    <t>Pannier Bag - Black</t>
  </si>
  <si>
    <t>ACC-BAG-WHI</t>
  </si>
  <si>
    <t>Pannier Bag - White</t>
  </si>
  <si>
    <t>ACC-BAG-RED</t>
  </si>
  <si>
    <t>Pannier Bag - Red</t>
  </si>
  <si>
    <t>ACC-BAG-BLU</t>
  </si>
  <si>
    <t>Pannier Bag - Blue</t>
  </si>
  <si>
    <t>ACC-BAG-GRE</t>
  </si>
  <si>
    <t>Pannier Bag - Green</t>
  </si>
  <si>
    <t>ACC-BAG-SIL</t>
  </si>
  <si>
    <t>Pannier Bag - Silver</t>
  </si>
  <si>
    <t>ACC-RACK-STA</t>
  </si>
  <si>
    <t>Rear Cargo Rack Standard</t>
  </si>
  <si>
    <t>ACC-RACK-TRA</t>
  </si>
  <si>
    <t>Rear Cargo Rack Trail</t>
  </si>
  <si>
    <t>Rear Cargo Rack Commuter</t>
  </si>
  <si>
    <t>ACC-RACK-URB</t>
  </si>
  <si>
    <t>Rear Cargo Rack Urban</t>
  </si>
  <si>
    <t>ACC-RACK-DEL</t>
  </si>
  <si>
    <t>Rear Cargo Rack Deluxe</t>
  </si>
  <si>
    <t>Rear Cargo Rack Compact</t>
  </si>
  <si>
    <t>ACC-RACK-BLA</t>
  </si>
  <si>
    <t>Rear Cargo Rack - Black</t>
  </si>
  <si>
    <t>ACC-RACK-WHI</t>
  </si>
  <si>
    <t>Rear Cargo Rack - White</t>
  </si>
  <si>
    <t>ACC-RACK-RED</t>
  </si>
  <si>
    <t>Rear Cargo Rack - Red</t>
  </si>
  <si>
    <t>ACC-RACK-BLU</t>
  </si>
  <si>
    <t>Rear Cargo Rack - Blue</t>
  </si>
  <si>
    <t>ACC-RACK-GRE</t>
  </si>
  <si>
    <t>Rear Cargo Rack - Green</t>
  </si>
  <si>
    <t>ACC-RACK-SIL</t>
  </si>
  <si>
    <t>Rear Cargo Rack - Silver</t>
  </si>
  <si>
    <t>ACC-CAGE-STA</t>
  </si>
  <si>
    <t>Bottle Cage Standard</t>
  </si>
  <si>
    <t>ACC-CAGE-TRA</t>
  </si>
  <si>
    <t>Bottle Cage Trail</t>
  </si>
  <si>
    <t>Bottle Cage Commuter</t>
  </si>
  <si>
    <t>ACC-CAGE-URB</t>
  </si>
  <si>
    <t>Bottle Cage Urban</t>
  </si>
  <si>
    <t>ACC-CAGE-DEL</t>
  </si>
  <si>
    <t>Bottle Cage Deluxe</t>
  </si>
  <si>
    <t>Bottle Cage Compact</t>
  </si>
  <si>
    <t>ACC-CAGE-BLA</t>
  </si>
  <si>
    <t>Bottle Cage - Black</t>
  </si>
  <si>
    <t>ACC-CAGE-WHI</t>
  </si>
  <si>
    <t>Bottle Cage - White</t>
  </si>
  <si>
    <t>ACC-CAGE-RED</t>
  </si>
  <si>
    <t>Bottle Cage - Red</t>
  </si>
  <si>
    <t>ACC-CAGE-BLU</t>
  </si>
  <si>
    <t>Bottle Cage - Blue</t>
  </si>
  <si>
    <t>ACC-CAGE-GRE</t>
  </si>
  <si>
    <t>Bottle Cage - Green</t>
  </si>
  <si>
    <t>ACC-CAGE-SIL</t>
  </si>
  <si>
    <t>Bottle Cage - Silver</t>
  </si>
  <si>
    <t>ACC-FENDER-STA</t>
  </si>
  <si>
    <t>Fender Set Standard</t>
  </si>
  <si>
    <t>ACC-FENDER-TRA</t>
  </si>
  <si>
    <t>Fender Set Trail</t>
  </si>
  <si>
    <t>Fender Set Commuter</t>
  </si>
  <si>
    <t>ACC-FENDER-URB</t>
  </si>
  <si>
    <t>Fender Set Urban</t>
  </si>
  <si>
    <t>ACC-FENDER-DEL</t>
  </si>
  <si>
    <t>Fender Set Deluxe</t>
  </si>
  <si>
    <t>Fender Set Compact</t>
  </si>
  <si>
    <t>ACC-FENDER-BLA</t>
  </si>
  <si>
    <t>Fender Set - Black</t>
  </si>
  <si>
    <t>ACC-FENDER-WHI</t>
  </si>
  <si>
    <t>Fender Set - White</t>
  </si>
  <si>
    <t>ACC-FENDER-RED</t>
  </si>
  <si>
    <t>Fender Set - Red</t>
  </si>
  <si>
    <t>ACC-FENDER-BLU</t>
  </si>
  <si>
    <t>Fender Set - Blue</t>
  </si>
  <si>
    <t>ACC-FENDER-GRE</t>
  </si>
  <si>
    <t>Fender Set - Green</t>
  </si>
  <si>
    <t>ACC-FENDER-SIL</t>
  </si>
  <si>
    <t>Fender Set - Silver</t>
  </si>
  <si>
    <t>ACC-MIRROR-STA</t>
  </si>
  <si>
    <t>Handlebar Mirror Standard</t>
  </si>
  <si>
    <t>ACC-MIRROR-TRA</t>
  </si>
  <si>
    <t>Handlebar Mirror Trail</t>
  </si>
  <si>
    <t>Handlebar Mirror Commuter</t>
  </si>
  <si>
    <t>ACC-MIRROR-URB</t>
  </si>
  <si>
    <t>Handlebar Mirror Urban</t>
  </si>
  <si>
    <t>ACC-MIRROR-DEL</t>
  </si>
  <si>
    <t>Handlebar Mirror Deluxe</t>
  </si>
  <si>
    <t>Handlebar Mirror Compact</t>
  </si>
  <si>
    <t>ACC-MIRROR-BLA</t>
  </si>
  <si>
    <t>Handlebar Mirror - Black</t>
  </si>
  <si>
    <t>ACC-MIRROR-WHI</t>
  </si>
  <si>
    <t>Handlebar Mirror - White</t>
  </si>
  <si>
    <t>ACC-MIRROR-RED</t>
  </si>
  <si>
    <t>Handlebar Mirror - Red</t>
  </si>
  <si>
    <t>ACC-MIRROR-BLU</t>
  </si>
  <si>
    <t>Handlebar Mirror - Blue</t>
  </si>
  <si>
    <t>ACC-MIRROR-GRE</t>
  </si>
  <si>
    <t>Handlebar Mirror - Green</t>
  </si>
  <si>
    <t>ACC-MIRROR-SIL</t>
  </si>
  <si>
    <t>Handlebar Mirror - Silver</t>
  </si>
  <si>
    <t>ACC-MOUNT-STA</t>
  </si>
  <si>
    <t>Phone Mount Standard</t>
  </si>
  <si>
    <t>ACC-MOUNT-TRA</t>
  </si>
  <si>
    <t>Phone Mount Trail</t>
  </si>
  <si>
    <t>Phone Mount Commuter</t>
  </si>
  <si>
    <t>ACC-MOUNT-URB</t>
  </si>
  <si>
    <t>Phone Mount Urban</t>
  </si>
  <si>
    <t>ACC-MOUNT-DEL</t>
  </si>
  <si>
    <t>Phone Mount Deluxe</t>
  </si>
  <si>
    <t>Phone Mount Compact</t>
  </si>
  <si>
    <t>ACC-MOUNT-BLA</t>
  </si>
  <si>
    <t>Phone Mount - Black</t>
  </si>
  <si>
    <t>ACC-MOUNT-WHI</t>
  </si>
  <si>
    <t>Phone Mount - White</t>
  </si>
  <si>
    <t>ACC-MOUNT-RED</t>
  </si>
  <si>
    <t>Phone Mount - Red</t>
  </si>
  <si>
    <t>ACC-MOUNT-BLU</t>
  </si>
  <si>
    <t>Phone Mount - Blue</t>
  </si>
  <si>
    <t>ACC-MOUNT-GRE</t>
  </si>
  <si>
    <t>Phone Mount - Green</t>
  </si>
  <si>
    <t>ACC-MOUNT-SIL</t>
  </si>
  <si>
    <t>Phone Mount - Silver</t>
  </si>
  <si>
    <t>ACC-KIT-REPAIR</t>
  </si>
  <si>
    <t>Repair Kit</t>
  </si>
  <si>
    <t>Generic</t>
  </si>
  <si>
    <t>Aisle TBD</t>
  </si>
  <si>
    <t>CUST-0001</t>
  </si>
  <si>
    <t>FirstName</t>
  </si>
  <si>
    <t>LastName</t>
  </si>
  <si>
    <t>Email</t>
  </si>
  <si>
    <t>Phone</t>
  </si>
  <si>
    <t>City</t>
  </si>
  <si>
    <t>State</t>
  </si>
  <si>
    <t>CustomerType</t>
  </si>
  <si>
    <t>JoinDate</t>
  </si>
  <si>
    <t>CUST-0002</t>
  </si>
  <si>
    <t>Hannah</t>
  </si>
  <si>
    <t>Hayes</t>
  </si>
  <si>
    <t>hannah.hayes1@example.com</t>
  </si>
  <si>
    <t>828-481-5012</t>
  </si>
  <si>
    <t>Asheville</t>
  </si>
  <si>
    <t>NC</t>
  </si>
  <si>
    <t>Retail</t>
  </si>
  <si>
    <t>CUST-0003</t>
  </si>
  <si>
    <t>Joseph</t>
  </si>
  <si>
    <t>Garcia</t>
  </si>
  <si>
    <t>joseph.garcia2@example.com</t>
  </si>
  <si>
    <t>828-804-7912</t>
  </si>
  <si>
    <t>Sylva</t>
  </si>
  <si>
    <t>CUST-0004</t>
  </si>
  <si>
    <t>Elijah</t>
  </si>
  <si>
    <t>Nelson</t>
  </si>
  <si>
    <t>elijah.nelson3@example.com</t>
  </si>
  <si>
    <t>828-816-1434</t>
  </si>
  <si>
    <t>Brevard</t>
  </si>
  <si>
    <t>CUST-0005</t>
  </si>
  <si>
    <t>David</t>
  </si>
  <si>
    <t>Lee</t>
  </si>
  <si>
    <t>david.lee4@example.com</t>
  </si>
  <si>
    <t>828-659-5557</t>
  </si>
  <si>
    <t>Morganton</t>
  </si>
  <si>
    <t>Commercial</t>
  </si>
  <si>
    <t>CUST-0006</t>
  </si>
  <si>
    <t>Liam</t>
  </si>
  <si>
    <t>Keller</t>
  </si>
  <si>
    <t>liam.keller5@example.com</t>
  </si>
  <si>
    <t>828-484-3547</t>
  </si>
  <si>
    <t>CUST-0007</t>
  </si>
  <si>
    <t>Natalie</t>
  </si>
  <si>
    <t>Vargas</t>
  </si>
  <si>
    <t>natalie.vargas6@example.com</t>
  </si>
  <si>
    <t>828-589-2584</t>
  </si>
  <si>
    <t>Hendersonville</t>
  </si>
  <si>
    <t>CUST-0008</t>
  </si>
  <si>
    <t>Emily</t>
  </si>
  <si>
    <t>Scott</t>
  </si>
  <si>
    <t>emily.scott7@example.com</t>
  </si>
  <si>
    <t>828-244-8527</t>
  </si>
  <si>
    <t>Waynesville</t>
  </si>
  <si>
    <t>CUST-0009</t>
  </si>
  <si>
    <t>Daniel</t>
  </si>
  <si>
    <t>Zimmerman</t>
  </si>
  <si>
    <t>daniel.zimmerman8@example.com</t>
  </si>
  <si>
    <t>828-500-6925</t>
  </si>
  <si>
    <t>CUST-0010</t>
  </si>
  <si>
    <t>Evans</t>
  </si>
  <si>
    <t>david.evans9@example.com</t>
  </si>
  <si>
    <t>828-433-5741</t>
  </si>
  <si>
    <t>Service</t>
  </si>
  <si>
    <t>CUST-0011</t>
  </si>
  <si>
    <t>Leah</t>
  </si>
  <si>
    <t>Owens</t>
  </si>
  <si>
    <t>leah.owens10@example.com</t>
  </si>
  <si>
    <t>828-484-8428</t>
  </si>
  <si>
    <t>CUST-0012</t>
  </si>
  <si>
    <t>Logan</t>
  </si>
  <si>
    <t>logan.keller11@example.com</t>
  </si>
  <si>
    <t>828-414-5374</t>
  </si>
  <si>
    <t>Black Mountain</t>
  </si>
  <si>
    <t>CUST-0013</t>
  </si>
  <si>
    <t>Samuel</t>
  </si>
  <si>
    <t>samuel.evans12@example.com</t>
  </si>
  <si>
    <t>828-375-9751</t>
  </si>
  <si>
    <t>Weaverville</t>
  </si>
  <si>
    <t>CUST-0014</t>
  </si>
  <si>
    <t>Lucas</t>
  </si>
  <si>
    <t>Flores</t>
  </si>
  <si>
    <t>lucas.flores13@example.com</t>
  </si>
  <si>
    <t>828-855-4598</t>
  </si>
  <si>
    <t>CUST-0015</t>
  </si>
  <si>
    <t>Isaac</t>
  </si>
  <si>
    <t>Diaz</t>
  </si>
  <si>
    <t>isaac.diaz14@example.com</t>
  </si>
  <si>
    <t>828-232-6168</t>
  </si>
  <si>
    <t>CUST-0016</t>
  </si>
  <si>
    <t>Amelia</t>
  </si>
  <si>
    <t>amelia.nelson15@example.com</t>
  </si>
  <si>
    <t>828-522-4483</t>
  </si>
  <si>
    <t>CUST-0017</t>
  </si>
  <si>
    <t>Jackson</t>
  </si>
  <si>
    <t>jackson.flores16@example.com</t>
  </si>
  <si>
    <t>828-342-5040</t>
  </si>
  <si>
    <t>Boone</t>
  </si>
  <si>
    <t>CUST-0018</t>
  </si>
  <si>
    <t>Zoey</t>
  </si>
  <si>
    <t>Quinn</t>
  </si>
  <si>
    <t>zoey.quinn17@example.com</t>
  </si>
  <si>
    <t>828-797-7543</t>
  </si>
  <si>
    <t>CUST-0019</t>
  </si>
  <si>
    <t>Isabella</t>
  </si>
  <si>
    <t>Jenkins</t>
  </si>
  <si>
    <t>isabella.jenkins18@example.com</t>
  </si>
  <si>
    <t>828-973-1771</t>
  </si>
  <si>
    <t>Marion</t>
  </si>
  <si>
    <t>CUST-0020</t>
  </si>
  <si>
    <t>Mia</t>
  </si>
  <si>
    <t>mia.keller19@example.com</t>
  </si>
  <si>
    <t>828-265-7304</t>
  </si>
  <si>
    <t>CUST-0021</t>
  </si>
  <si>
    <t>Owen</t>
  </si>
  <si>
    <t>King</t>
  </si>
  <si>
    <t>owen.king20@example.com</t>
  </si>
  <si>
    <t>828-211-2876</t>
  </si>
  <si>
    <t>CUST-0022</t>
  </si>
  <si>
    <t>Reed</t>
  </si>
  <si>
    <t>zoey.reed21@example.com</t>
  </si>
  <si>
    <t>828-500-8123</t>
  </si>
  <si>
    <t>CUST-0023</t>
  </si>
  <si>
    <t>liam.quinn22@example.com</t>
  </si>
  <si>
    <t>828-382-9317</t>
  </si>
  <si>
    <t>CUST-0024</t>
  </si>
  <si>
    <t>John</t>
  </si>
  <si>
    <t>Turner</t>
  </si>
  <si>
    <t>john.turner23@example.com</t>
  </si>
  <si>
    <t>828-403-3504</t>
  </si>
  <si>
    <t>CUST-0025</t>
  </si>
  <si>
    <t>lucas.lee24@example.com</t>
  </si>
  <si>
    <t>828-813-6310</t>
  </si>
  <si>
    <t>CUST-0026</t>
  </si>
  <si>
    <t>James</t>
  </si>
  <si>
    <t>Young</t>
  </si>
  <si>
    <t>james.young25@example.com</t>
  </si>
  <si>
    <t>828-259-4946</t>
  </si>
  <si>
    <t>CUST-0027</t>
  </si>
  <si>
    <t>Foster</t>
  </si>
  <si>
    <t>elijah.foster26@example.com</t>
  </si>
  <si>
    <t>828-270-9727</t>
  </si>
  <si>
    <t>CUST-0028</t>
  </si>
  <si>
    <t>Gray</t>
  </si>
  <si>
    <t>isabella.gray27@example.com</t>
  </si>
  <si>
    <t>828-471-9645</t>
  </si>
  <si>
    <t>CUST-0029</t>
  </si>
  <si>
    <t>Sebastian</t>
  </si>
  <si>
    <t>sebastian.nelson28@example.com</t>
  </si>
  <si>
    <t>828-947-4295</t>
  </si>
  <si>
    <t>CUST-0030</t>
  </si>
  <si>
    <t>jackson.young29@example.com</t>
  </si>
  <si>
    <t>828-662-2982</t>
  </si>
  <si>
    <t>CUST-0031</t>
  </si>
  <si>
    <t>amelia.vargas30@example.com</t>
  </si>
  <si>
    <t>828-767-4770</t>
  </si>
  <si>
    <t>CUST-0032</t>
  </si>
  <si>
    <t>liam.evans31@example.com</t>
  </si>
  <si>
    <t>828-269-1514</t>
  </si>
  <si>
    <t>CUST-0033</t>
  </si>
  <si>
    <t>amelia.jenkins32@example.com</t>
  </si>
  <si>
    <t>828-885-8953</t>
  </si>
  <si>
    <t>CUST-0034</t>
  </si>
  <si>
    <t>Powell</t>
  </si>
  <si>
    <t>isabella.powell33@example.com</t>
  </si>
  <si>
    <t>828-448-8749</t>
  </si>
  <si>
    <t>CUST-0035</t>
  </si>
  <si>
    <t>Henry</t>
  </si>
  <si>
    <t>henry.garcia34@example.com</t>
  </si>
  <si>
    <t>828-641-6804</t>
  </si>
  <si>
    <t>CUST-0036</t>
  </si>
  <si>
    <t>owen.diaz35@example.com</t>
  </si>
  <si>
    <t>828-612-6559</t>
  </si>
  <si>
    <t>CUST-0037</t>
  </si>
  <si>
    <t>Sophia</t>
  </si>
  <si>
    <t>Parker</t>
  </si>
  <si>
    <t>sophia.parker36@example.com</t>
  </si>
  <si>
    <t>828-749-8350</t>
  </si>
  <si>
    <t>CUST-0038</t>
  </si>
  <si>
    <t>Charlotte</t>
  </si>
  <si>
    <t>charlotte.reed37@example.com</t>
  </si>
  <si>
    <t>828-277-8260</t>
  </si>
  <si>
    <t>CUST-0039</t>
  </si>
  <si>
    <t>Moore</t>
  </si>
  <si>
    <t>leah.moore38@example.com</t>
  </si>
  <si>
    <t>828-867-9856</t>
  </si>
  <si>
    <t>CUST-0040</t>
  </si>
  <si>
    <t>elijah.parker39@example.com</t>
  </si>
  <si>
    <t>828-697-8886</t>
  </si>
  <si>
    <t>CUST-0041</t>
  </si>
  <si>
    <t>jackson.diaz40@example.com</t>
  </si>
  <si>
    <t>828-202-7396</t>
  </si>
  <si>
    <t>CUST-0042</t>
  </si>
  <si>
    <t>Savannah</t>
  </si>
  <si>
    <t>savannah.flores41@example.com</t>
  </si>
  <si>
    <t>828-913-8973</t>
  </si>
  <si>
    <t>CUST-0043</t>
  </si>
  <si>
    <t>Ella</t>
  </si>
  <si>
    <t>ella.nelson42@example.com</t>
  </si>
  <si>
    <t>828-953-9883</t>
  </si>
  <si>
    <t>CUST-0044</t>
  </si>
  <si>
    <t>Abigail</t>
  </si>
  <si>
    <t>abigail.diaz43@example.com</t>
  </si>
  <si>
    <t>828-688-9238</t>
  </si>
  <si>
    <t>CUST-0045</t>
  </si>
  <si>
    <t>Luke</t>
  </si>
  <si>
    <t>luke.keller44@example.com</t>
  </si>
  <si>
    <t>828-282-4044</t>
  </si>
  <si>
    <t>CUST-0046</t>
  </si>
  <si>
    <t>amelia.parker45@example.com</t>
  </si>
  <si>
    <t>828-783-5033</t>
  </si>
  <si>
    <t>CUST-0047</t>
  </si>
  <si>
    <t>Noah</t>
  </si>
  <si>
    <t>Taylor</t>
  </si>
  <si>
    <t>noah.taylor46@example.com</t>
  </si>
  <si>
    <t>828-873-9565</t>
  </si>
  <si>
    <t>CUST-0048</t>
  </si>
  <si>
    <t>Harper</t>
  </si>
  <si>
    <t>harper.nelson47@example.com</t>
  </si>
  <si>
    <t>828-471-7484</t>
  </si>
  <si>
    <t>CUST-0049</t>
  </si>
  <si>
    <t>Aiden</t>
  </si>
  <si>
    <t>aiden.turner48@example.com</t>
  </si>
  <si>
    <t>828-969-2188</t>
  </si>
  <si>
    <t>CUST-0050</t>
  </si>
  <si>
    <t>Ethan</t>
  </si>
  <si>
    <t>ethan.powell49@example.com</t>
  </si>
  <si>
    <t>828-750-4492</t>
  </si>
  <si>
    <t>CUST-0051</t>
  </si>
  <si>
    <t>Walker</t>
  </si>
  <si>
    <t>isabella.walker50@example.com</t>
  </si>
  <si>
    <t>828-578-5669</t>
  </si>
  <si>
    <t>CUST-0052</t>
  </si>
  <si>
    <t>isaac.lee51@example.com</t>
  </si>
  <si>
    <t>828-869-9666</t>
  </si>
  <si>
    <t>CUST-0053</t>
  </si>
  <si>
    <t>Brooklyn</t>
  </si>
  <si>
    <t>brooklyn.moore52@example.com</t>
  </si>
  <si>
    <t>828-306-3200</t>
  </si>
  <si>
    <t>CUST-0054</t>
  </si>
  <si>
    <t>Allison</t>
  </si>
  <si>
    <t>allison.garcia53@example.com</t>
  </si>
  <si>
    <t>828-478-5616</t>
  </si>
  <si>
    <t>CUST-0055</t>
  </si>
  <si>
    <t>david.vargas54@example.com</t>
  </si>
  <si>
    <t>828-849-5325</t>
  </si>
  <si>
    <t>CUST-0056</t>
  </si>
  <si>
    <t>harper.diaz55@example.com</t>
  </si>
  <si>
    <t>828-633-5533</t>
  </si>
  <si>
    <t>CUST-0057</t>
  </si>
  <si>
    <t>Mason</t>
  </si>
  <si>
    <t>Irwin</t>
  </si>
  <si>
    <t>mason.irwin56@example.com</t>
  </si>
  <si>
    <t>828-959-8239</t>
  </si>
  <si>
    <t>CUST-0058</t>
  </si>
  <si>
    <t>sebastian.moore57@example.com</t>
  </si>
  <si>
    <t>828-277-3442</t>
  </si>
  <si>
    <t>CUST-0059</t>
  </si>
  <si>
    <t>isaac.young58@example.com</t>
  </si>
  <si>
    <t>828-351-8041</t>
  </si>
  <si>
    <t>CUST-0060</t>
  </si>
  <si>
    <t>Levi</t>
  </si>
  <si>
    <t>levi.young59@example.com</t>
  </si>
  <si>
    <t>828-415-5088</t>
  </si>
  <si>
    <t>emily.moore60@example.com</t>
  </si>
  <si>
    <t>828-967-3532</t>
  </si>
  <si>
    <t>EmployeeID</t>
  </si>
  <si>
    <t>Department</t>
  </si>
  <si>
    <t>JobTitle</t>
  </si>
  <si>
    <t>HireDate</t>
  </si>
  <si>
    <t>EmploymentType</t>
  </si>
  <si>
    <t>HourlyRate</t>
  </si>
  <si>
    <t>EMP-0001</t>
  </si>
  <si>
    <t>Benjamin</t>
  </si>
  <si>
    <t>Sales</t>
  </si>
  <si>
    <t>Store Manager</t>
  </si>
  <si>
    <t>Full-Time</t>
  </si>
  <si>
    <t>EMP-0002</t>
  </si>
  <si>
    <t>Olivia</t>
  </si>
  <si>
    <t>Lopez</t>
  </si>
  <si>
    <t>Sales Consultant</t>
  </si>
  <si>
    <t>EMP-0003</t>
  </si>
  <si>
    <t>Grace</t>
  </si>
  <si>
    <t>EMP-0004</t>
  </si>
  <si>
    <t>Layla</t>
  </si>
  <si>
    <t>EMP-0005</t>
  </si>
  <si>
    <t>Bike Technician</t>
  </si>
  <si>
    <t>EMP-0006</t>
  </si>
  <si>
    <t>Claire</t>
  </si>
  <si>
    <t>EMP-0007</t>
  </si>
  <si>
    <t>Lead Technician</t>
  </si>
  <si>
    <t>EMP-0008</t>
  </si>
  <si>
    <t>Baker</t>
  </si>
  <si>
    <t>Operations</t>
  </si>
  <si>
    <t>Inventory Coordinator</t>
  </si>
  <si>
    <t>EMP-0009</t>
  </si>
  <si>
    <t>Operations Assistant</t>
  </si>
  <si>
    <t>EMP-0010</t>
  </si>
  <si>
    <t>Marketing</t>
  </si>
  <si>
    <t>Marketing Specialist</t>
  </si>
  <si>
    <t>EMP-0011</t>
  </si>
  <si>
    <t>Website Coordinator</t>
  </si>
  <si>
    <t>EMP-0012</t>
  </si>
  <si>
    <t>Carter</t>
  </si>
  <si>
    <t>Support</t>
  </si>
  <si>
    <t>Customer Support Rep</t>
  </si>
  <si>
    <t>EMP-0013</t>
  </si>
  <si>
    <t>Underwood</t>
  </si>
  <si>
    <t>EMP-0014</t>
  </si>
  <si>
    <t>Riley</t>
  </si>
  <si>
    <t>Administration</t>
  </si>
  <si>
    <t>Bookkeeper</t>
  </si>
  <si>
    <t>EMP-0015</t>
  </si>
  <si>
    <t>Training Coordinator</t>
  </si>
  <si>
    <t>EMP-0016</t>
  </si>
  <si>
    <t>Part-Time Sales Associate</t>
  </si>
  <si>
    <t>Part-Time</t>
  </si>
  <si>
    <t>EMP-0017</t>
  </si>
  <si>
    <t>Mitchell</t>
  </si>
  <si>
    <t>Part-Time Service Assistant</t>
  </si>
  <si>
    <t>EMP-0018</t>
  </si>
  <si>
    <t>Aria</t>
  </si>
  <si>
    <t>Executive</t>
  </si>
  <si>
    <t>Owner</t>
  </si>
  <si>
    <t>SaleID</t>
  </si>
  <si>
    <t>SaleDate</t>
  </si>
  <si>
    <t>CustomerID</t>
  </si>
  <si>
    <t>Quantity</t>
  </si>
  <si>
    <t>UnitPrice</t>
  </si>
  <si>
    <t>Discount</t>
  </si>
  <si>
    <t>Total Sale Amount</t>
  </si>
  <si>
    <t>SaleChannel</t>
  </si>
  <si>
    <t>PaymentMethod</t>
  </si>
  <si>
    <t>SALE-5091</t>
  </si>
  <si>
    <t>Website</t>
  </si>
  <si>
    <t>Cash</t>
  </si>
  <si>
    <t>Completed</t>
  </si>
  <si>
    <t>SALE-5093</t>
  </si>
  <si>
    <t>Phone Order</t>
  </si>
  <si>
    <t>Credit Card</t>
  </si>
  <si>
    <t>SALE-5068</t>
  </si>
  <si>
    <t>SALE-5040</t>
  </si>
  <si>
    <t>Picked Up</t>
  </si>
  <si>
    <t>SALE-5026</t>
  </si>
  <si>
    <t>Financing</t>
  </si>
  <si>
    <t>SALE-5087</t>
  </si>
  <si>
    <t>SALE-5162</t>
  </si>
  <si>
    <t>Pannier Bag</t>
  </si>
  <si>
    <t>SALE-5173</t>
  </si>
  <si>
    <t>LED Light Set</t>
  </si>
  <si>
    <t>Debit Card</t>
  </si>
  <si>
    <t>SALE-5103</t>
  </si>
  <si>
    <t>In-Store</t>
  </si>
  <si>
    <t>SALE-5097</t>
  </si>
  <si>
    <t>SALE-5154</t>
  </si>
  <si>
    <t>Mini Pump</t>
  </si>
  <si>
    <t>SALE-5110</t>
  </si>
  <si>
    <t>SALE-5137</t>
  </si>
  <si>
    <t>ACC-FENDER-SET</t>
  </si>
  <si>
    <t>Fender Set</t>
  </si>
  <si>
    <t>SALE-5078</t>
  </si>
  <si>
    <t>SALE-5116</t>
  </si>
  <si>
    <t>SALE-5117</t>
  </si>
  <si>
    <t>SALE-5067</t>
  </si>
  <si>
    <t>Delivered</t>
  </si>
  <si>
    <t>SALE-5084</t>
  </si>
  <si>
    <t>SALE-5098</t>
  </si>
  <si>
    <t>SALE-5150</t>
  </si>
  <si>
    <t>SALE-5057</t>
  </si>
  <si>
    <t>SALE-5062</t>
  </si>
  <si>
    <t>SALE-5155</t>
  </si>
  <si>
    <t>ACC-ULOCK-STD</t>
  </si>
  <si>
    <t>SALE-5058</t>
  </si>
  <si>
    <t>SALE-5113</t>
  </si>
  <si>
    <t>SALE-5036</t>
  </si>
  <si>
    <t>SALE-5006</t>
  </si>
  <si>
    <t>SALE-5072</t>
  </si>
  <si>
    <t>SALE-5016</t>
  </si>
  <si>
    <t>SALE-5147</t>
  </si>
  <si>
    <t>Rear Cargo Rack</t>
  </si>
  <si>
    <t>SALE-5013</t>
  </si>
  <si>
    <t>SALE-5146</t>
  </si>
  <si>
    <t>SALE-5055</t>
  </si>
  <si>
    <t>SALE-5118</t>
  </si>
  <si>
    <t>SALE-5114</t>
  </si>
  <si>
    <t>SALE-5105</t>
  </si>
  <si>
    <t>SALE-5140</t>
  </si>
  <si>
    <t>ACC-HELMET-WHT</t>
  </si>
  <si>
    <t>SALE-5109</t>
  </si>
  <si>
    <t>SALE-5021</t>
  </si>
  <si>
    <t>SALE-5052</t>
  </si>
  <si>
    <t>SALE-5120</t>
  </si>
  <si>
    <t>SALE-5011</t>
  </si>
  <si>
    <t>SALE-5128</t>
  </si>
  <si>
    <t>ACC-MIRROR-SIDE</t>
  </si>
  <si>
    <t>Handlebar Mirror</t>
  </si>
  <si>
    <t>SALE-5027</t>
  </si>
  <si>
    <t>SALE-5125</t>
  </si>
  <si>
    <t>ACC-HELMET-BLK</t>
  </si>
  <si>
    <t>SALE-5175</t>
  </si>
  <si>
    <t>SALE-5092</t>
  </si>
  <si>
    <t>SALE-5102</t>
  </si>
  <si>
    <t>SALE-5136</t>
  </si>
  <si>
    <t>SALE-5174</t>
  </si>
  <si>
    <t>SALE-5007</t>
  </si>
  <si>
    <t>SALE-5101</t>
  </si>
  <si>
    <t>SALE-5056</t>
  </si>
  <si>
    <t>SALE-5124</t>
  </si>
  <si>
    <t>SALE-5065</t>
  </si>
  <si>
    <t>SALE-5126</t>
  </si>
  <si>
    <t>SALE-5171</t>
  </si>
  <si>
    <t>Bottle Cage</t>
  </si>
  <si>
    <t>SALE-5002</t>
  </si>
  <si>
    <t>SALE-5042</t>
  </si>
  <si>
    <t>SALE-5049</t>
  </si>
  <si>
    <t>SALE-5112</t>
  </si>
  <si>
    <t>SALE-5073</t>
  </si>
  <si>
    <t>SALE-5003</t>
  </si>
  <si>
    <t>SALE-5069</t>
  </si>
  <si>
    <t>SALE-5059</t>
  </si>
  <si>
    <t>SALE-5083</t>
  </si>
  <si>
    <t>SALE-5048</t>
  </si>
  <si>
    <t>SALE-5122</t>
  </si>
  <si>
    <t>SALE-5079</t>
  </si>
  <si>
    <t>SALE-5152</t>
  </si>
  <si>
    <t>SALE-5001</t>
  </si>
  <si>
    <t>SALE-5082</t>
  </si>
  <si>
    <t>SALE-5086</t>
  </si>
  <si>
    <t>SALE-5138</t>
  </si>
  <si>
    <t>SALE-5107</t>
  </si>
  <si>
    <t>SALE-5106</t>
  </si>
  <si>
    <t>SALE-5074</t>
  </si>
  <si>
    <t>SALE-5077</t>
  </si>
  <si>
    <t>SALE-5127</t>
  </si>
  <si>
    <t>SALE-5149</t>
  </si>
  <si>
    <t>Phone Mount</t>
  </si>
  <si>
    <t>SALE-5005</t>
  </si>
  <si>
    <t>SALE-5010</t>
  </si>
  <si>
    <t>SALE-5076</t>
  </si>
  <si>
    <t>SALE-5123</t>
  </si>
  <si>
    <t>SALE-5160</t>
  </si>
  <si>
    <t>SALE-5075</t>
  </si>
  <si>
    <t>SALE-5029</t>
  </si>
  <si>
    <t>SALE-5164</t>
  </si>
  <si>
    <t>SALE-5090</t>
  </si>
  <si>
    <t>SALE-5135</t>
  </si>
  <si>
    <t>SALE-5023</t>
  </si>
  <si>
    <t>SALE-5153</t>
  </si>
  <si>
    <t>SALE-5166</t>
  </si>
  <si>
    <t>SALE-5030</t>
  </si>
  <si>
    <t>SALE-5020</t>
  </si>
  <si>
    <t>SALE-5046</t>
  </si>
  <si>
    <t>SALE-5064</t>
  </si>
  <si>
    <t>SALE-5142</t>
  </si>
  <si>
    <t>SALE-5096</t>
  </si>
  <si>
    <t>SALE-5115</t>
  </si>
  <si>
    <t>SALE-5148</t>
  </si>
  <si>
    <t>SALE-5038</t>
  </si>
  <si>
    <t>SALE-5014</t>
  </si>
  <si>
    <t>SALE-5066</t>
  </si>
  <si>
    <t>SALE-5141</t>
  </si>
  <si>
    <t>SALE-5035</t>
  </si>
  <si>
    <t>SALE-5054</t>
  </si>
  <si>
    <t>SALE-5158</t>
  </si>
  <si>
    <t>SALE-5039</t>
  </si>
  <si>
    <t>SALE-5017</t>
  </si>
  <si>
    <t>SALE-5047</t>
  </si>
  <si>
    <t>SALE-5089</t>
  </si>
  <si>
    <t>SALE-5094</t>
  </si>
  <si>
    <t>SALE-5139</t>
  </si>
  <si>
    <t>SALE-5012</t>
  </si>
  <si>
    <t>SALE-5043</t>
  </si>
  <si>
    <t>SALE-5133</t>
  </si>
  <si>
    <t>SALE-5145</t>
  </si>
  <si>
    <t>SALE-5028</t>
  </si>
  <si>
    <t>SALE-5070</t>
  </si>
  <si>
    <t>SALE-5163</t>
  </si>
  <si>
    <t>SALE-5050</t>
  </si>
  <si>
    <t>SALE-5063</t>
  </si>
  <si>
    <t>SALE-5132</t>
  </si>
  <si>
    <t>SALE-5095</t>
  </si>
  <si>
    <t>SALE-5008</t>
  </si>
  <si>
    <t>SALE-5111</t>
  </si>
  <si>
    <t>SALE-5156</t>
  </si>
  <si>
    <t>SALE-5004</t>
  </si>
  <si>
    <t>SALE-5009</t>
  </si>
  <si>
    <t>SALE-5034</t>
  </si>
  <si>
    <t>SALE-5161</t>
  </si>
  <si>
    <t>SALE-5031</t>
  </si>
  <si>
    <t>SALE-5157</t>
  </si>
  <si>
    <t>SALE-5041</t>
  </si>
  <si>
    <t>SALE-5129</t>
  </si>
  <si>
    <t>SALE-5053</t>
  </si>
  <si>
    <t>SALE-5061</t>
  </si>
  <si>
    <t>SALE-5167</t>
  </si>
  <si>
    <t>SALE-5081</t>
  </si>
  <si>
    <t>SALE-5172</t>
  </si>
  <si>
    <t>SALE-5051</t>
  </si>
  <si>
    <t>SALE-5037</t>
  </si>
  <si>
    <t>SALE-5134</t>
  </si>
  <si>
    <t>SALE-5099</t>
  </si>
  <si>
    <t>SALE-5165</t>
  </si>
  <si>
    <t>SALE-5104</t>
  </si>
  <si>
    <t>SALE-5060</t>
  </si>
  <si>
    <t>SALE-5080</t>
  </si>
  <si>
    <t>SALE-5024</t>
  </si>
  <si>
    <t>SALE-5019</t>
  </si>
  <si>
    <t>SALE-5131</t>
  </si>
  <si>
    <t>SALE-5015</t>
  </si>
  <si>
    <t>SALE-5100</t>
  </si>
  <si>
    <t>SALE-5088</t>
  </si>
  <si>
    <t>SALE-5085</t>
  </si>
  <si>
    <t>SALE-5033</t>
  </si>
  <si>
    <t>SALE-5119</t>
  </si>
  <si>
    <t>SALE-5159</t>
  </si>
  <si>
    <t>SALE-5168</t>
  </si>
  <si>
    <t>SALE-5032</t>
  </si>
  <si>
    <t>SALE-5143</t>
  </si>
  <si>
    <t>SALE-5022</t>
  </si>
  <si>
    <t>SALE-5044</t>
  </si>
  <si>
    <t>SALE-5045</t>
  </si>
  <si>
    <t>SALE-5121</t>
  </si>
  <si>
    <t>SALE-5018</t>
  </si>
  <si>
    <t>SALE-5025</t>
  </si>
  <si>
    <t>SALE-5151</t>
  </si>
  <si>
    <t>SALE-5169</t>
  </si>
  <si>
    <t>SALE-5170</t>
  </si>
  <si>
    <t>SALE-5071</t>
  </si>
  <si>
    <t>SALE-5144</t>
  </si>
  <si>
    <t>SALE-5108</t>
  </si>
  <si>
    <t>SALE-5130</t>
  </si>
  <si>
    <t>Department / Role</t>
  </si>
  <si>
    <t>Manufacturer</t>
  </si>
  <si>
    <t>Processor</t>
  </si>
  <si>
    <t>RAM</t>
  </si>
  <si>
    <t>Storage</t>
  </si>
  <si>
    <t>Unit Price ($)</t>
  </si>
  <si>
    <t>Extended Price ($)</t>
  </si>
  <si>
    <t>Purchase URL</t>
  </si>
  <si>
    <t>Administrative Office Desktops</t>
  </si>
  <si>
    <t>Dell</t>
  </si>
  <si>
    <t>Tower Desktop</t>
  </si>
  <si>
    <t xml:space="preserve">Intel Core Ultra </t>
  </si>
  <si>
    <t>16GB</t>
  </si>
  <si>
    <t>512GB</t>
  </si>
  <si>
    <t>Showroom Sales Tablets</t>
  </si>
  <si>
    <t>Apple</t>
  </si>
  <si>
    <t>iPad 11th Gen</t>
  </si>
  <si>
    <t>A16 Chip</t>
  </si>
  <si>
    <t>6GB</t>
  </si>
  <si>
    <t>128GB</t>
  </si>
  <si>
    <t>Showroom Sales Laptops</t>
  </si>
  <si>
    <t>MacBook Air</t>
  </si>
  <si>
    <t>Apple M4</t>
  </si>
  <si>
    <t>256GB</t>
  </si>
  <si>
    <t>Showroom Desk Computers</t>
  </si>
  <si>
    <t>HP</t>
  </si>
  <si>
    <t>Elite SFF 805 G9 Desktop PC</t>
  </si>
  <si>
    <t>AMD Ryzen 5</t>
  </si>
  <si>
    <t>Multimedia Workstations</t>
  </si>
  <si>
    <t>Mac Studio</t>
  </si>
  <si>
    <t>Apple M4 Max</t>
  </si>
  <si>
    <t>36GB</t>
  </si>
  <si>
    <t>Service Workshop Computers</t>
  </si>
  <si>
    <t>Lenovo</t>
  </si>
  <si>
    <t>ThinkCentre M70s</t>
  </si>
  <si>
    <t>Intel Core i5</t>
  </si>
  <si>
    <t>Warehouse Computers</t>
  </si>
  <si>
    <t>Tower Slim</t>
  </si>
  <si>
    <t>Intel Core i3</t>
  </si>
  <si>
    <t>8GB</t>
  </si>
  <si>
    <t>Grand Total</t>
  </si>
  <si>
    <t>Vendor</t>
  </si>
  <si>
    <t>Software Name</t>
  </si>
  <si>
    <t>Licensing Type</t>
  </si>
  <si>
    <t>Unit Cost ($)</t>
  </si>
  <si>
    <t>Extended Cost ($)</t>
  </si>
  <si>
    <t xml:space="preserve">Cost Type </t>
  </si>
  <si>
    <t>Office Productivity</t>
  </si>
  <si>
    <t>Microsoft</t>
  </si>
  <si>
    <t>Microsoft 365 Business Standard</t>
  </si>
  <si>
    <t>Per User Subscription</t>
  </si>
  <si>
    <t>Monthly</t>
  </si>
  <si>
    <t>Point-of-Sale</t>
  </si>
  <si>
    <t>Lightspeed</t>
  </si>
  <si>
    <t>Lightspeed Retail POS</t>
  </si>
  <si>
    <t>Per Register Subscription</t>
  </si>
  <si>
    <t>Accounting</t>
  </si>
  <si>
    <t>Intuit</t>
  </si>
  <si>
    <t>QuickBooks Online Plus</t>
  </si>
  <si>
    <t>Subscription (Company)</t>
  </si>
  <si>
    <t>Media Creation</t>
  </si>
  <si>
    <t>Adobe</t>
  </si>
  <si>
    <t>Adobe Creative Cloud All Apps</t>
  </si>
  <si>
    <t>Security</t>
  </si>
  <si>
    <t>Bitdefender</t>
  </si>
  <si>
    <t>Bitdefender GravityZone Business Security</t>
  </si>
  <si>
    <t>Per Device Subscription</t>
  </si>
  <si>
    <t>Software Grand Total:</t>
  </si>
  <si>
    <t>Equipment Category</t>
  </si>
  <si>
    <t>Key Specifications</t>
  </si>
  <si>
    <t>Router / Firewall</t>
  </si>
  <si>
    <t>Ubiquiti</t>
  </si>
  <si>
    <t>Dream Machine Pro</t>
  </si>
  <si>
    <t>Enterprise router, firewall, 10G SFP+, IDS/IPS security</t>
  </si>
  <si>
    <t>Managed Switch</t>
  </si>
  <si>
    <t>UniFi Switch 24 PoE</t>
  </si>
  <si>
    <t>24 Gigabit ports, PoE+, Layer 2 managed switch</t>
  </si>
  <si>
    <t>Wireless Access Point</t>
  </si>
  <si>
    <t>UniFi 6 Long‑Range</t>
  </si>
  <si>
    <t>Wi‑Fi 6, long‑range coverage, indoor AP</t>
  </si>
  <si>
    <t>Outdoor Access Point</t>
  </si>
  <si>
    <t>UniFi U6 Mesh</t>
  </si>
  <si>
    <t>Weather‑resistant Wi‑Fi 6 outdoor AP</t>
  </si>
  <si>
    <t>Ethernet Cabling</t>
  </si>
  <si>
    <t>Monoprice</t>
  </si>
  <si>
    <t>Cat6 Bulk Cable (1000 ft)</t>
  </si>
  <si>
    <t>Cat6, 550 MHz, solid conductor</t>
  </si>
  <si>
    <t>Network Grand Total:</t>
  </si>
  <si>
    <t>SalesSKU</t>
  </si>
  <si>
    <t>InventorySKU</t>
  </si>
  <si>
    <t>ACC-LIGHT-LED</t>
  </si>
  <si>
    <t>ACC-PUMP-MINI</t>
  </si>
  <si>
    <t>ACC-BAG-PANNIER</t>
  </si>
  <si>
    <t>ACC-RACK-REAR</t>
  </si>
  <si>
    <t>ACC-MOUNT-PHONE</t>
  </si>
  <si>
    <t>ACC-CAGE-BOTTLE</t>
  </si>
  <si>
    <t>ReorderFlag</t>
  </si>
  <si>
    <t>Sum of Total Sale Amount</t>
  </si>
  <si>
    <t>udm-pro</t>
  </si>
  <si>
    <t xml:space="preserve">usw-24-poe </t>
  </si>
  <si>
    <t xml:space="preserve">u6-lr </t>
  </si>
  <si>
    <t xml:space="preserve">u6-mesh </t>
  </si>
  <si>
    <t xml:space="preserve">lightspeedhq.com </t>
  </si>
  <si>
    <t>microsoft-365</t>
  </si>
  <si>
    <t>quickbooks</t>
  </si>
  <si>
    <t xml:space="preserve">adobe.com </t>
  </si>
  <si>
    <t>bitdefender.com</t>
  </si>
  <si>
    <t>monoprice.com/product</t>
  </si>
  <si>
    <t>macbook-air</t>
  </si>
  <si>
    <t>ipad-11</t>
  </si>
  <si>
    <t>hp.com</t>
  </si>
  <si>
    <t>mac-studio</t>
  </si>
  <si>
    <t>lenovo.com</t>
  </si>
  <si>
    <t>dell-ecs1250-slim-desktop</t>
  </si>
  <si>
    <t>dell-ect1250-desktop</t>
  </si>
  <si>
    <t>ACC-LOCK-COMP</t>
  </si>
  <si>
    <t>RideLine Power Bikes</t>
  </si>
  <si>
    <t>ACC-LIGHT-COMP</t>
  </si>
  <si>
    <t>ACC-PUMP-COMP</t>
  </si>
  <si>
    <t>ACC-BAG-COMM</t>
  </si>
  <si>
    <t>ACC-BAG-COMP</t>
  </si>
  <si>
    <t>ACC-RACK-COMM</t>
  </si>
  <si>
    <t>ACC-RACK-COMP</t>
  </si>
  <si>
    <t>ACC-CAGE-COMM</t>
  </si>
  <si>
    <t>ACC-CAGE-COMP</t>
  </si>
  <si>
    <t>ACC-FENDER-COMM</t>
  </si>
  <si>
    <t>ACC-FENDER-COMP</t>
  </si>
  <si>
    <t>ACC-MIRROR-COMM</t>
  </si>
  <si>
    <t>ACC-MIRROR-COMP</t>
  </si>
  <si>
    <t>ACC-MOUNT-COMM</t>
  </si>
  <si>
    <t>ACC-MOUNT-COMP</t>
  </si>
  <si>
    <t>Total Inventory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</si>
</sst>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u/>
      <sz val="11"/>
      <color theme="10"/>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cellStyleXfs>
  <cellXfs count="17">
    <xf numFmtId="0" fontId="0" fillId="0" borderId="0" xfId="0"/>
    <xf numFmtId="14" fontId="0" fillId="0" borderId="0" xfId="0" applyNumberFormat="1"/>
    <xf numFmtId="164" fontId="0" fillId="0" borderId="0" xfId="0" applyNumberFormat="1"/>
    <xf numFmtId="1" fontId="0" fillId="0" borderId="0" xfId="0" applyNumberFormat="1"/>
    <xf numFmtId="0" fontId="1" fillId="0" borderId="0" xfId="1"/>
    <xf numFmtId="49"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left"/>
    </xf>
    <xf numFmtId="0" fontId="0" fillId="0" borderId="0" xfId="0" applyAlignment="1">
      <alignment horizontal="left"/>
    </xf>
    <xf numFmtId="0" fontId="0" fillId="0" borderId="0" xfId="0" pivotButton="1"/>
    <xf numFmtId="49" fontId="0" fillId="0" borderId="0" xfId="0" applyNumberFormat="1"/>
    <xf numFmtId="9" fontId="0" fillId="0" borderId="0" xfId="0" applyNumberFormat="1"/>
    <xf numFmtId="0" fontId="0" fillId="2" borderId="1" xfId="0" applyFill="1" applyBorder="1"/>
    <xf numFmtId="0" fontId="2" fillId="0" borderId="0" xfId="0" applyFont="1"/>
    <xf numFmtId="0" fontId="0" fillId="0" borderId="0" xfId="0" applyAlignment="1">
      <alignment horizontal="center"/>
    </xf>
    <xf numFmtId="14" fontId="0" fillId="0" borderId="0" xfId="0" applyNumberFormat="1" applyAlignment="1">
      <alignment horizontal="center"/>
    </xf>
    <xf numFmtId="164" fontId="0" fillId="2" borderId="2" xfId="0" applyNumberFormat="1" applyFill="1" applyBorder="1"/>
  </cellXfs>
  <cellStyles count="2">
    <cellStyle name="Hyperlink" xfId="1" builtinId="8"/>
    <cellStyle name="Normal" xfId="0" builtinId="0"/>
  </cellStyles>
  <dxfs count="30">
    <dxf>
      <font>
        <color rgb="FF9C0006"/>
      </font>
      <fill>
        <patternFill>
          <bgColor rgb="FFFFC7CE"/>
        </patternFill>
      </fill>
    </dxf>
    <dxf>
      <font>
        <color rgb="FF9C0006"/>
      </font>
      <fill>
        <patternFill>
          <bgColor rgb="FFFFC7CE"/>
        </patternFill>
      </fill>
    </dxf>
    <dxf>
      <numFmt numFmtId="164" formatCode="&quot;$&quot;#,##0.00"/>
    </dxf>
    <dxf>
      <numFmt numFmtId="164" formatCode="&quot;$&quot;#,##0.00"/>
    </dxf>
    <dxf>
      <numFmt numFmtId="164" formatCode="&quot;$&quot;#,##0.00"/>
    </dxf>
    <dxf>
      <numFmt numFmtId="164" formatCode="&quot;$&quot;#,##0.0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numFmt numFmtId="164" formatCode="&quot;$&quot;#,##0.00"/>
    </dxf>
    <dxf>
      <numFmt numFmtId="13" formatCode="0%"/>
    </dxf>
    <dxf>
      <numFmt numFmtId="164" formatCode="&quot;$&quot;#,##0.00"/>
    </dxf>
    <dxf>
      <numFmt numFmtId="1" formatCode="0"/>
    </dxf>
    <dxf>
      <numFmt numFmtId="30" formatCode="@"/>
    </dxf>
    <dxf>
      <numFmt numFmtId="30" formatCode="@"/>
    </dxf>
    <dxf>
      <numFmt numFmtId="30" formatCode="@"/>
    </dxf>
    <dxf>
      <numFmt numFmtId="30" formatCode="@"/>
    </dxf>
    <dxf>
      <numFmt numFmtId="19" formatCode="m/d/yyyy"/>
    </dxf>
    <dxf>
      <numFmt numFmtId="30" formatCode="@"/>
    </dxf>
    <dxf>
      <numFmt numFmtId="0" formatCode="General"/>
    </dxf>
    <dxf>
      <numFmt numFmtId="164" formatCode="&quot;$&quot;#,##0.00"/>
    </dxf>
    <dxf>
      <numFmt numFmtId="1" formatCode="0"/>
    </dxf>
    <dxf>
      <numFmt numFmtId="164" formatCode="&quot;$&quot;#,##0.00"/>
    </dxf>
    <dxf>
      <numFmt numFmtId="164" formatCode="&quot;$&quot;#,##0.00"/>
    </dxf>
    <dxf>
      <numFmt numFmtId="164" formatCode="&quot;$&quot;#,##0.00"/>
    </dxf>
    <dxf>
      <numFmt numFmtId="19" formatCode="m/d/yyyy"/>
    </dxf>
    <dxf>
      <numFmt numFmtId="19" formatCode="m/d/yyyy"/>
    </dxf>
    <dxf>
      <alignment horizontal="center" vertical="bottom" textRotation="0" wrapText="0" indent="0" justifyLastLine="0" shrinkToFit="0" readingOrder="0"/>
    </dxf>
    <dxf>
      <numFmt numFmtId="164" formatCode="&quot;$&quot;#,##0.00"/>
    </dxf>
    <dxf>
      <numFmt numFmtId="164" formatCode="&quot;$&quot;#,##0.0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[Caligan_M5_dataManagement.xlsx]Pivot_Charts!PivotTable1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Employee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9136871376555"/>
          <c:y val="0.28962133037335092"/>
          <c:w val="0.69774429275477257"/>
          <c:h val="0.5699580899161798"/>
        </c:manualLayout>
      </c:layout>
      <c:barChart>
        <c:barDir val="bar"/>
        <c:grouping val="clustered"/>
        <c:varyColors val="0"/>
        <c:ser>
          <c:idx val="0"/>
          <c:order val="0"/>
          <c:tx>
            <c:strRef>
              <c:f>Pivot_Charts!$B$3</c:f>
              <c:strCache>
                <c:ptCount val="1"/>
                <c:pt idx="0">
                  <c:v>Total</c:v>
                </c:pt>
              </c:strCache>
            </c:strRef>
          </c:tx>
          <c:spPr>
            <a:solidFill>
              <a:schemeClr val="accent5"/>
            </a:solidFill>
            <a:ln>
              <a:noFill/>
            </a:ln>
            <a:effectLst/>
          </c:spPr>
          <c:invertIfNegative val="0"/>
          <c:cat>
            <c:strRef>
              <c:f>Pivot_Charts!$A$4:$A$14</c:f>
              <c:strCache>
                <c:ptCount val="10"/>
                <c:pt idx="0">
                  <c:v>EMP-0011</c:v>
                </c:pt>
                <c:pt idx="1">
                  <c:v>EMP-0006</c:v>
                </c:pt>
                <c:pt idx="2">
                  <c:v>EMP-0012</c:v>
                </c:pt>
                <c:pt idx="3">
                  <c:v>EMP-0005</c:v>
                </c:pt>
                <c:pt idx="4">
                  <c:v>EMP-0001</c:v>
                </c:pt>
                <c:pt idx="5">
                  <c:v>EMP-0007</c:v>
                </c:pt>
                <c:pt idx="6">
                  <c:v>EMP-0009</c:v>
                </c:pt>
                <c:pt idx="7">
                  <c:v>EMP-0010</c:v>
                </c:pt>
                <c:pt idx="8">
                  <c:v>EMP-0013</c:v>
                </c:pt>
                <c:pt idx="9">
                  <c:v>EMP-0017</c:v>
                </c:pt>
              </c:strCache>
            </c:strRef>
          </c:cat>
          <c:val>
            <c:numRef>
              <c:f>Pivot_Charts!$B$4:$B$14</c:f>
              <c:numCache>
                <c:formatCode>"$"#,##0.00</c:formatCode>
                <c:ptCount val="10"/>
                <c:pt idx="0">
                  <c:v>1941.3</c:v>
                </c:pt>
                <c:pt idx="1">
                  <c:v>2024.8000000000002</c:v>
                </c:pt>
                <c:pt idx="2">
                  <c:v>2034.9</c:v>
                </c:pt>
                <c:pt idx="3">
                  <c:v>2295.9</c:v>
                </c:pt>
                <c:pt idx="4">
                  <c:v>2317.15</c:v>
                </c:pt>
                <c:pt idx="5">
                  <c:v>2363.15</c:v>
                </c:pt>
                <c:pt idx="6">
                  <c:v>2501</c:v>
                </c:pt>
                <c:pt idx="7">
                  <c:v>3862.45</c:v>
                </c:pt>
                <c:pt idx="8">
                  <c:v>4887.0500000000011</c:v>
                </c:pt>
                <c:pt idx="9">
                  <c:v>6469.55</c:v>
                </c:pt>
              </c:numCache>
            </c:numRef>
          </c:val>
          <c:extLst>
            <c:ext xmlns:c16="http://schemas.microsoft.com/office/drawing/2014/chart" uri="{C3380CC4-5D6E-409C-BE32-E72D297353CC}">
              <c16:uniqueId val="{00000000-4D3D-47B1-904B-9503A7A037C6}"/>
            </c:ext>
          </c:extLst>
        </c:ser>
        <c:dLbls>
          <c:showLegendKey val="0"/>
          <c:showVal val="0"/>
          <c:showCatName val="0"/>
          <c:showSerName val="0"/>
          <c:showPercent val="0"/>
          <c:showBubbleSize val="0"/>
        </c:dLbls>
        <c:gapWidth val="182"/>
        <c:axId val="1994385775"/>
        <c:axId val="1994390575"/>
      </c:barChart>
      <c:catAx>
        <c:axId val="199438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90575"/>
        <c:crosses val="autoZero"/>
        <c:auto val="1"/>
        <c:lblAlgn val="ctr"/>
        <c:lblOffset val="100"/>
        <c:noMultiLvlLbl val="0"/>
      </c:catAx>
      <c:valAx>
        <c:axId val="1994390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8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[Caligan_M5_dataManagement.xlsx]Pivot_Charts!PivotTable9</c:name>
    <c:fmtId val="11"/>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200"/>
              <a:t>Total Product Sales</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99070784688785E-2"/>
          <c:y val="0.30541907942441049"/>
          <c:w val="0.83551707732515934"/>
          <c:h val="0.36841815006587214"/>
        </c:manualLayout>
      </c:layout>
      <c:barChart>
        <c:barDir val="col"/>
        <c:grouping val="clustered"/>
        <c:varyColors val="0"/>
        <c:ser>
          <c:idx val="0"/>
          <c:order val="0"/>
          <c:tx>
            <c:strRef>
              <c:f>Pivot_Charts!$B$24</c:f>
              <c:strCache>
                <c:ptCount val="1"/>
                <c:pt idx="0">
                  <c:v>Total</c:v>
                </c:pt>
              </c:strCache>
            </c:strRef>
          </c:tx>
          <c:spPr>
            <a:solidFill>
              <a:schemeClr val="accent1"/>
            </a:solidFill>
            <a:ln>
              <a:noFill/>
            </a:ln>
            <a:effectLst/>
          </c:spPr>
          <c:invertIfNegative val="0"/>
          <c:cat>
            <c:strRef>
              <c:f>Pivot_Charts!$A$25:$A$35</c:f>
              <c:strCache>
                <c:ptCount val="10"/>
                <c:pt idx="0">
                  <c:v>Women's Ridge Medium</c:v>
                </c:pt>
                <c:pt idx="1">
                  <c:v>Women's Ridge Large</c:v>
                </c:pt>
                <c:pt idx="2">
                  <c:v>Women's Comet Medium</c:v>
                </c:pt>
                <c:pt idx="3">
                  <c:v>Women's Comet Large</c:v>
                </c:pt>
                <c:pt idx="4">
                  <c:v>Men's Ridge Small</c:v>
                </c:pt>
                <c:pt idx="5">
                  <c:v>Men's Ridge Large</c:v>
                </c:pt>
                <c:pt idx="6">
                  <c:v>Men's Comet Small</c:v>
                </c:pt>
                <c:pt idx="7">
                  <c:v>Men's Comet Medium</c:v>
                </c:pt>
                <c:pt idx="8">
                  <c:v>Men's Comet Large</c:v>
                </c:pt>
                <c:pt idx="9">
                  <c:v>Kids' Spark Small</c:v>
                </c:pt>
              </c:strCache>
            </c:strRef>
          </c:cat>
          <c:val>
            <c:numRef>
              <c:f>Pivot_Charts!$B$25:$B$35</c:f>
              <c:numCache>
                <c:formatCode>"$"#,##0.00</c:formatCode>
                <c:ptCount val="10"/>
                <c:pt idx="0">
                  <c:v>4682.7999999999993</c:v>
                </c:pt>
                <c:pt idx="1">
                  <c:v>6519.3000000000011</c:v>
                </c:pt>
                <c:pt idx="2">
                  <c:v>2441.7000000000003</c:v>
                </c:pt>
                <c:pt idx="3">
                  <c:v>2295.9</c:v>
                </c:pt>
                <c:pt idx="4">
                  <c:v>4360.5</c:v>
                </c:pt>
                <c:pt idx="5">
                  <c:v>2211.3000000000002</c:v>
                </c:pt>
                <c:pt idx="6">
                  <c:v>4481.5</c:v>
                </c:pt>
                <c:pt idx="7">
                  <c:v>1939.7</c:v>
                </c:pt>
                <c:pt idx="8">
                  <c:v>5367</c:v>
                </c:pt>
                <c:pt idx="9">
                  <c:v>1423.8</c:v>
                </c:pt>
              </c:numCache>
            </c:numRef>
          </c:val>
          <c:extLst>
            <c:ext xmlns:c16="http://schemas.microsoft.com/office/drawing/2014/chart" uri="{C3380CC4-5D6E-409C-BE32-E72D297353CC}">
              <c16:uniqueId val="{00000000-FFA5-4ADE-9008-71B637DEFB80}"/>
            </c:ext>
          </c:extLst>
        </c:ser>
        <c:dLbls>
          <c:showLegendKey val="0"/>
          <c:showVal val="0"/>
          <c:showCatName val="0"/>
          <c:showSerName val="0"/>
          <c:showPercent val="0"/>
          <c:showBubbleSize val="0"/>
        </c:dLbls>
        <c:gapWidth val="219"/>
        <c:overlap val="-27"/>
        <c:axId val="2101815551"/>
        <c:axId val="2101812191"/>
      </c:barChart>
      <c:catAx>
        <c:axId val="210181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12191"/>
        <c:crosses val="autoZero"/>
        <c:auto val="1"/>
        <c:lblAlgn val="ctr"/>
        <c:lblOffset val="100"/>
        <c:noMultiLvlLbl val="0"/>
      </c:catAx>
      <c:valAx>
        <c:axId val="2101812191"/>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1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[Caligan_M5_dataManagement.xlsx]Pivot_Charts!PivotTable3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Totals</a:t>
            </a:r>
            <a:r>
              <a:rPr lang="en-US" baseline="0"/>
              <a:t> by </a:t>
            </a:r>
            <a:r>
              <a:rPr lang="en-US"/>
              <a:t>Sales</a:t>
            </a:r>
            <a:r>
              <a:rPr lang="en-US" baseline="0"/>
              <a:t>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manualLayout>
          <c:layoutTarget val="inner"/>
          <c:xMode val="edge"/>
          <c:yMode val="edge"/>
          <c:x val="0.12868766404199475"/>
          <c:y val="0.19201934403868809"/>
          <c:w val="0.54606634696978662"/>
          <c:h val="0.76248634275046323"/>
        </c:manualLayout>
      </c:layout>
      <c:pieChart>
        <c:varyColors val="1"/>
        <c:ser>
          <c:idx val="0"/>
          <c:order val="0"/>
          <c:tx>
            <c:strRef>
              <c:f>Pivot_Charts!$B$42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BF6-4CC5-AB32-0E837AEE4E0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BF6-4CC5-AB32-0E837AEE4E0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BF6-4CC5-AB32-0E837AEE4E08}"/>
              </c:ext>
            </c:extLst>
          </c:dPt>
          <c:cat>
            <c:strRef>
              <c:f>Pivot_Charts!$A$43:$A$46</c:f>
              <c:strCache>
                <c:ptCount val="3"/>
                <c:pt idx="0">
                  <c:v>In-Store</c:v>
                </c:pt>
                <c:pt idx="1">
                  <c:v>Phone Order</c:v>
                </c:pt>
                <c:pt idx="2">
                  <c:v>Website</c:v>
                </c:pt>
              </c:strCache>
            </c:strRef>
          </c:cat>
          <c:val>
            <c:numRef>
              <c:f>Pivot_Charts!$B$43:$B$46</c:f>
              <c:numCache>
                <c:formatCode>"$"#,##0.00</c:formatCode>
                <c:ptCount val="3"/>
                <c:pt idx="0">
                  <c:v>103822.45</c:v>
                </c:pt>
                <c:pt idx="1">
                  <c:v>65027.650000000009</c:v>
                </c:pt>
                <c:pt idx="2">
                  <c:v>80068.499999999971</c:v>
                </c:pt>
              </c:numCache>
            </c:numRef>
          </c:val>
          <c:extLst>
            <c:ext xmlns:c16="http://schemas.microsoft.com/office/drawing/2014/chart" uri="{C3380CC4-5D6E-409C-BE32-E72D297353CC}">
              <c16:uniqueId val="{00000006-9BF6-4CC5-AB32-0E837AEE4E0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899773557717051"/>
          <c:y val="0.43082333062148853"/>
          <c:w val="0.19910683958622818"/>
          <c:h val="0.245456450837662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[Caligan_M5_dataManagement.xlsx]Pivot_Charts!PivotTable1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c:f>
              <c:strCache>
                <c:ptCount val="1"/>
                <c:pt idx="0">
                  <c:v>Total</c:v>
                </c:pt>
              </c:strCache>
            </c:strRef>
          </c:tx>
          <c:spPr>
            <a:solidFill>
              <a:schemeClr val="accent1"/>
            </a:solidFill>
            <a:ln>
              <a:noFill/>
            </a:ln>
            <a:effectLst/>
          </c:spPr>
          <c:invertIfNegative val="0"/>
          <c:cat>
            <c:strRef>
              <c:f>Pivot_Charts!$A$4:$A$14</c:f>
              <c:strCache>
                <c:ptCount val="10"/>
                <c:pt idx="0">
                  <c:v>EMP-0011</c:v>
                </c:pt>
                <c:pt idx="1">
                  <c:v>EMP-0006</c:v>
                </c:pt>
                <c:pt idx="2">
                  <c:v>EMP-0012</c:v>
                </c:pt>
                <c:pt idx="3">
                  <c:v>EMP-0005</c:v>
                </c:pt>
                <c:pt idx="4">
                  <c:v>EMP-0001</c:v>
                </c:pt>
                <c:pt idx="5">
                  <c:v>EMP-0007</c:v>
                </c:pt>
                <c:pt idx="6">
                  <c:v>EMP-0009</c:v>
                </c:pt>
                <c:pt idx="7">
                  <c:v>EMP-0010</c:v>
                </c:pt>
                <c:pt idx="8">
                  <c:v>EMP-0013</c:v>
                </c:pt>
                <c:pt idx="9">
                  <c:v>EMP-0017</c:v>
                </c:pt>
              </c:strCache>
            </c:strRef>
          </c:cat>
          <c:val>
            <c:numRef>
              <c:f>Pivot_Charts!$B$4:$B$14</c:f>
              <c:numCache>
                <c:formatCode>"$"#,##0.00</c:formatCode>
                <c:ptCount val="10"/>
                <c:pt idx="0">
                  <c:v>1941.3</c:v>
                </c:pt>
                <c:pt idx="1">
                  <c:v>2024.8000000000002</c:v>
                </c:pt>
                <c:pt idx="2">
                  <c:v>2034.9</c:v>
                </c:pt>
                <c:pt idx="3">
                  <c:v>2295.9</c:v>
                </c:pt>
                <c:pt idx="4">
                  <c:v>2317.15</c:v>
                </c:pt>
                <c:pt idx="5">
                  <c:v>2363.15</c:v>
                </c:pt>
                <c:pt idx="6">
                  <c:v>2501</c:v>
                </c:pt>
                <c:pt idx="7">
                  <c:v>3862.45</c:v>
                </c:pt>
                <c:pt idx="8">
                  <c:v>4887.0500000000011</c:v>
                </c:pt>
                <c:pt idx="9">
                  <c:v>6469.55</c:v>
                </c:pt>
              </c:numCache>
            </c:numRef>
          </c:val>
          <c:extLst>
            <c:ext xmlns:c16="http://schemas.microsoft.com/office/drawing/2014/chart" uri="{C3380CC4-5D6E-409C-BE32-E72D297353CC}">
              <c16:uniqueId val="{00000000-95FF-4D82-B891-424509685388}"/>
            </c:ext>
          </c:extLst>
        </c:ser>
        <c:dLbls>
          <c:showLegendKey val="0"/>
          <c:showVal val="0"/>
          <c:showCatName val="0"/>
          <c:showSerName val="0"/>
          <c:showPercent val="0"/>
          <c:showBubbleSize val="0"/>
        </c:dLbls>
        <c:gapWidth val="182"/>
        <c:axId val="1994385775"/>
        <c:axId val="1994390575"/>
      </c:barChart>
      <c:catAx>
        <c:axId val="199438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90575"/>
        <c:crosses val="autoZero"/>
        <c:auto val="1"/>
        <c:lblAlgn val="ctr"/>
        <c:lblOffset val="100"/>
        <c:noMultiLvlLbl val="0"/>
      </c:catAx>
      <c:valAx>
        <c:axId val="1994390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8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[Caligan_M5_dataManagement.xlsx]Pivot_Charts!PivotTable9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Pivot_Charts!$B$24</c:f>
              <c:strCache>
                <c:ptCount val="1"/>
                <c:pt idx="0">
                  <c:v>Total</c:v>
                </c:pt>
              </c:strCache>
            </c:strRef>
          </c:tx>
          <c:spPr>
            <a:solidFill>
              <a:schemeClr val="accent1"/>
            </a:solidFill>
            <a:ln>
              <a:noFill/>
            </a:ln>
            <a:effectLst/>
          </c:spPr>
          <c:invertIfNegative val="0"/>
          <c:cat>
            <c:strRef>
              <c:f>Pivot_Charts!$A$25:$A$35</c:f>
              <c:strCache>
                <c:ptCount val="10"/>
                <c:pt idx="0">
                  <c:v>Women's Ridge Medium</c:v>
                </c:pt>
                <c:pt idx="1">
                  <c:v>Women's Ridge Large</c:v>
                </c:pt>
                <c:pt idx="2">
                  <c:v>Women's Comet Medium</c:v>
                </c:pt>
                <c:pt idx="3">
                  <c:v>Women's Comet Large</c:v>
                </c:pt>
                <c:pt idx="4">
                  <c:v>Men's Ridge Small</c:v>
                </c:pt>
                <c:pt idx="5">
                  <c:v>Men's Ridge Large</c:v>
                </c:pt>
                <c:pt idx="6">
                  <c:v>Men's Comet Small</c:v>
                </c:pt>
                <c:pt idx="7">
                  <c:v>Men's Comet Medium</c:v>
                </c:pt>
                <c:pt idx="8">
                  <c:v>Men's Comet Large</c:v>
                </c:pt>
                <c:pt idx="9">
                  <c:v>Kids' Spark Small</c:v>
                </c:pt>
              </c:strCache>
            </c:strRef>
          </c:cat>
          <c:val>
            <c:numRef>
              <c:f>Pivot_Charts!$B$25:$B$35</c:f>
              <c:numCache>
                <c:formatCode>"$"#,##0.00</c:formatCode>
                <c:ptCount val="10"/>
                <c:pt idx="0">
                  <c:v>4682.7999999999993</c:v>
                </c:pt>
                <c:pt idx="1">
                  <c:v>6519.3000000000011</c:v>
                </c:pt>
                <c:pt idx="2">
                  <c:v>2441.7000000000003</c:v>
                </c:pt>
                <c:pt idx="3">
                  <c:v>2295.9</c:v>
                </c:pt>
                <c:pt idx="4">
                  <c:v>4360.5</c:v>
                </c:pt>
                <c:pt idx="5">
                  <c:v>2211.3000000000002</c:v>
                </c:pt>
                <c:pt idx="6">
                  <c:v>4481.5</c:v>
                </c:pt>
                <c:pt idx="7">
                  <c:v>1939.7</c:v>
                </c:pt>
                <c:pt idx="8">
                  <c:v>5367</c:v>
                </c:pt>
                <c:pt idx="9">
                  <c:v>1423.8</c:v>
                </c:pt>
              </c:numCache>
            </c:numRef>
          </c:val>
          <c:extLst>
            <c:ext xmlns:c16="http://schemas.microsoft.com/office/drawing/2014/chart" uri="{C3380CC4-5D6E-409C-BE32-E72D297353CC}">
              <c16:uniqueId val="{00000000-AC93-433A-B366-4E31B6D40213}"/>
            </c:ext>
          </c:extLst>
        </c:ser>
        <c:dLbls>
          <c:showLegendKey val="0"/>
          <c:showVal val="0"/>
          <c:showCatName val="0"/>
          <c:showSerName val="0"/>
          <c:showPercent val="0"/>
          <c:showBubbleSize val="0"/>
        </c:dLbls>
        <c:gapWidth val="219"/>
        <c:overlap val="-27"/>
        <c:axId val="2101815551"/>
        <c:axId val="2101812191"/>
      </c:barChart>
      <c:catAx>
        <c:axId val="210181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12191"/>
        <c:crosses val="autoZero"/>
        <c:auto val="1"/>
        <c:lblAlgn val="ctr"/>
        <c:lblOffset val="100"/>
        <c:noMultiLvlLbl val="0"/>
      </c:catAx>
      <c:valAx>
        <c:axId val="210181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1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142876</xdr:colOff>
      <xdr:row>16</xdr:row>
      <xdr:rowOff>104775</xdr:rowOff>
    </xdr:from>
    <xdr:to>
      <xdr:col>11</xdr:col>
      <xdr:colOff>123825</xdr:colOff>
      <xdr:row>29</xdr:row>
      <xdr:rowOff>123825</xdr:rowOff>
    </xdr:to>
    <xdr:graphicFrame macro="">
      <xdr:nvGraphicFramePr>
        <xdr:cNvPr id="7" name="TotalSalesEmp">
          <a:extLst>
            <a:ext uri="{FF2B5EF4-FFF2-40B4-BE49-F238E27FC236}">
              <a16:creationId xmlns:a16="http://schemas.microsoft.com/office/drawing/2014/main" id="{53CA7E6F-095D-4D66-8625-F9131769F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104777</xdr:colOff>
      <xdr:row>4</xdr:row>
      <xdr:rowOff>57150</xdr:rowOff>
    </xdr:from>
    <xdr:to>
      <xdr:col>11</xdr:col>
      <xdr:colOff>152401</xdr:colOff>
      <xdr:row>16</xdr:row>
      <xdr:rowOff>28575</xdr:rowOff>
    </xdr:to>
    <xdr:graphicFrame macro="">
      <xdr:nvGraphicFramePr>
        <xdr:cNvPr id="9" name="TotalSalesProd">
          <a:extLst>
            <a:ext uri="{FF2B5EF4-FFF2-40B4-BE49-F238E27FC236}">
              <a16:creationId xmlns:a16="http://schemas.microsoft.com/office/drawing/2014/main" id="{2D9AD7F5-9245-4B6F-B302-0100DB6A7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342900</xdr:colOff>
      <xdr:row>4</xdr:row>
      <xdr:rowOff>47625</xdr:rowOff>
    </xdr:from>
    <xdr:to>
      <xdr:col>13</xdr:col>
      <xdr:colOff>485776</xdr:colOff>
      <xdr:row>9</xdr:row>
      <xdr:rowOff>66675</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C4268A3F-AA89-4F12-8FB2-684534F1C81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86700" y="885825"/>
              <a:ext cx="1362076"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657224</xdr:colOff>
      <xdr:row>4</xdr:row>
      <xdr:rowOff>19051</xdr:rowOff>
    </xdr:from>
    <xdr:to>
      <xdr:col>15</xdr:col>
      <xdr:colOff>542925</xdr:colOff>
      <xdr:row>9</xdr:row>
      <xdr:rowOff>38101</xdr:rowOff>
    </xdr:to>
    <mc:AlternateContent xmlns:mc="http://schemas.openxmlformats.org/markup-compatibility/2006" xmlns:a14="http://schemas.microsoft.com/office/drawing/2010/main">
      <mc:Choice Requires="a14">
        <xdr:graphicFrame macro="">
          <xdr:nvGraphicFramePr>
            <xdr:cNvPr id="13" name="PaymentMethod 1">
              <a:extLst>
                <a:ext uri="{FF2B5EF4-FFF2-40B4-BE49-F238E27FC236}">
                  <a16:creationId xmlns:a16="http://schemas.microsoft.com/office/drawing/2014/main" id="{AA7B1C65-F2A7-44EA-84AA-4F676CC90A28}"/>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9420224" y="857251"/>
              <a:ext cx="1933576"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502920</xdr:colOff>
      <xdr:row>9</xdr:row>
      <xdr:rowOff>110490</xdr:rowOff>
    </xdr:from>
    <xdr:to>
      <xdr:col>15</xdr:col>
      <xdr:colOff>419101</xdr:colOff>
      <xdr:row>15</xdr:row>
      <xdr:rowOff>85725</xdr:rowOff>
    </xdr:to>
    <mc:AlternateContent xmlns:mc="http://schemas.openxmlformats.org/markup-compatibility/2006" xmlns:tsle="http://schemas.microsoft.com/office/drawing/2012/timeslicer">
      <mc:Choice Requires="tsle">
        <xdr:graphicFrame macro="">
          <xdr:nvGraphicFramePr>
            <xdr:cNvPr id="15" name="SaleDate 1">
              <a:extLst>
                <a:ext uri="{FF2B5EF4-FFF2-40B4-BE49-F238E27FC236}">
                  <a16:creationId xmlns:a16="http://schemas.microsoft.com/office/drawing/2014/main" id="{127DBC7B-3C78-40B0-AD47-7CFA051A9036}"/>
                </a:ext>
              </a:extLst>
            </xdr:cNvPr>
            <xdr:cNvGraphicFramePr/>
          </xdr:nvGraphicFramePr>
          <xdr:xfrm>
            <a:off x="0" y="0"/>
            <a:ext cx="0" cy="0"/>
          </xdr:xfrm>
          <a:graphic>
            <a:graphicData uri="http://schemas.microsoft.com/office/drawing/2012/timeslicer">
              <tsle:timeslicer name="SaleDate 1"/>
            </a:graphicData>
          </a:graphic>
        </xdr:graphicFrame>
      </mc:Choice>
      <mc:Fallback xmlns="">
        <xdr:sp macro="" textlink="">
          <xdr:nvSpPr>
            <xdr:cNvPr id="0" name=""/>
            <xdr:cNvSpPr>
              <a:spLocks noTextEdit="1"/>
            </xdr:cNvSpPr>
          </xdr:nvSpPr>
          <xdr:spPr>
            <a:xfrm>
              <a:off x="8046720" y="1901190"/>
              <a:ext cx="3183256" cy="11182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266702</xdr:colOff>
      <xdr:row>16</xdr:row>
      <xdr:rowOff>85727</xdr:rowOff>
    </xdr:from>
    <xdr:to>
      <xdr:col>15</xdr:col>
      <xdr:colOff>533401</xdr:colOff>
      <xdr:row>30</xdr:row>
      <xdr:rowOff>57150</xdr:rowOff>
    </xdr:to>
    <xdr:graphicFrame macro="">
      <xdr:nvGraphicFramePr>
        <xdr:cNvPr id="19" name="TotalSalesChan">
          <a:extLst>
            <a:ext uri="{FF2B5EF4-FFF2-40B4-BE49-F238E27FC236}">
              <a16:creationId xmlns:a16="http://schemas.microsoft.com/office/drawing/2014/main" id="{06876665-3C76-4425-A9FB-A8A3A4E34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0</xdr:row>
      <xdr:rowOff>133350</xdr:rowOff>
    </xdr:from>
    <xdr:to>
      <xdr:col>5</xdr:col>
      <xdr:colOff>95721</xdr:colOff>
      <xdr:row>4</xdr:row>
      <xdr:rowOff>76309</xdr:rowOff>
    </xdr:to>
    <xdr:pic>
      <xdr:nvPicPr>
        <xdr:cNvPr id="21" name="Picture 20">
          <a:extLst>
            <a:ext uri="{FF2B5EF4-FFF2-40B4-BE49-F238E27FC236}">
              <a16:creationId xmlns:a16="http://schemas.microsoft.com/office/drawing/2014/main" id="{0D3D7A2D-0317-0F2B-D23B-8CC2E368A4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133350"/>
          <a:ext cx="3372321" cy="7811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1585911</xdr:colOff>
      <xdr:row>0</xdr:row>
      <xdr:rowOff>33337</xdr:rowOff>
    </xdr:from>
    <xdr:to>
      <xdr:col>10</xdr:col>
      <xdr:colOff>209551</xdr:colOff>
      <xdr:row>14</xdr:row>
      <xdr:rowOff>109537</xdr:rowOff>
    </xdr:to>
    <xdr:graphicFrame macro="">
      <xdr:nvGraphicFramePr>
        <xdr:cNvPr id="5" name="Chart 4">
          <a:extLst>
            <a:ext uri="{FF2B5EF4-FFF2-40B4-BE49-F238E27FC236}">
              <a16:creationId xmlns:a16="http://schemas.microsoft.com/office/drawing/2014/main" id="{ADD841EF-E2ED-5A1F-3C9C-857FB0EBA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1571625</xdr:colOff>
      <xdr:row>15</xdr:row>
      <xdr:rowOff>157161</xdr:rowOff>
    </xdr:from>
    <xdr:to>
      <xdr:col>11</xdr:col>
      <xdr:colOff>42862</xdr:colOff>
      <xdr:row>32</xdr:row>
      <xdr:rowOff>66674</xdr:rowOff>
    </xdr:to>
    <xdr:graphicFrame macro="">
      <xdr:nvGraphicFramePr>
        <xdr:cNvPr id="6" name="Chart 5">
          <a:extLst>
            <a:ext uri="{FF2B5EF4-FFF2-40B4-BE49-F238E27FC236}">
              <a16:creationId xmlns:a16="http://schemas.microsoft.com/office/drawing/2014/main" id="{FC311818-B2B9-3C0C-88D3-6E0D18502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142875</xdr:colOff>
      <xdr:row>3</xdr:row>
      <xdr:rowOff>104775</xdr:rowOff>
    </xdr:from>
    <xdr:to>
      <xdr:col>13</xdr:col>
      <xdr:colOff>447675</xdr:colOff>
      <xdr:row>8</xdr:row>
      <xdr:rowOff>123825</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9E66C353-48B7-36B2-9B88-94B83C2AD8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44550" y="676275"/>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314324</xdr:colOff>
      <xdr:row>19</xdr:row>
      <xdr:rowOff>123824</xdr:rowOff>
    </xdr:from>
    <xdr:to>
      <xdr:col>16</xdr:col>
      <xdr:colOff>457200</xdr:colOff>
      <xdr:row>29</xdr:row>
      <xdr:rowOff>19049</xdr:rowOff>
    </xdr:to>
    <mc:AlternateContent xmlns:mc="http://schemas.openxmlformats.org/markup-compatibility/2006" xmlns:tsle="http://schemas.microsoft.com/office/drawing/2012/timeslicer">
      <mc:Choice Requires="tsle">
        <xdr:graphicFrame macro="">
          <xdr:nvGraphicFramePr>
            <xdr:cNvPr id="16" name="SaleDate">
              <a:extLst>
                <a:ext uri="{FF2B5EF4-FFF2-40B4-BE49-F238E27FC236}">
                  <a16:creationId xmlns:a16="http://schemas.microsoft.com/office/drawing/2014/main" id="{15DF6AB1-88E8-396F-AFC9-169F982641CE}"/>
                </a:ext>
              </a:extLst>
            </xdr:cNvPr>
            <xdr:cNvGraphicFramePr/>
          </xdr:nvGraphicFramePr>
          <xdr:xfrm>
            <a:off x="0" y="0"/>
            <a:ext cx="0" cy="0"/>
          </xdr:xfrm>
          <a:graphic>
            <a:graphicData uri="http://schemas.microsoft.com/office/drawing/2012/timeslicer">
              <tsle:timeslicer name="SaleDate"/>
            </a:graphicData>
          </a:graphic>
        </xdr:graphicFrame>
      </mc:Choice>
      <mc:Fallback xmlns="">
        <xdr:sp macro="" textlink="">
          <xdr:nvSpPr>
            <xdr:cNvPr id="0" name=""/>
            <xdr:cNvSpPr>
              <a:spLocks noTextEdit="1"/>
            </xdr:cNvSpPr>
          </xdr:nvSpPr>
          <xdr:spPr>
            <a:xfrm>
              <a:off x="13173074" y="3743324"/>
              <a:ext cx="3952876" cy="18002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171450</xdr:colOff>
      <xdr:row>9</xdr:row>
      <xdr:rowOff>76200</xdr:rowOff>
    </xdr:from>
    <xdr:to>
      <xdr:col>13</xdr:col>
      <xdr:colOff>476250</xdr:colOff>
      <xdr:row>17</xdr:row>
      <xdr:rowOff>85725</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E920B4EB-DD79-BEBF-9D5C-D992FED9202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3030200" y="1790700"/>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dd Caligan" refreshedDate="46104.776922916666" createdVersion="8" refreshedVersion="8" minRefreshableVersion="3" recordCount="175" xr:uid="{727DA18A-5E2F-402C-92E8-A2902D5181F5}">
  <cacheSource type="worksheet">
    <worksheetSource name="SalesTbl"/>
  </cacheSource>
  <cacheFields count="17">
    <cacheField name="SaleID" numFmtId="0">
      <sharedItems count="175">
        <s v="SALE-5091"/>
        <s v="SALE-5093"/>
        <s v="SALE-5068"/>
        <s v="SALE-5040"/>
        <s v="SALE-5026"/>
        <s v="SALE-5087"/>
        <s v="SALE-5162"/>
        <s v="SALE-5173"/>
        <s v="SALE-5103"/>
        <s v="SALE-5097"/>
        <s v="SALE-5154"/>
        <s v="SALE-5110"/>
        <s v="SALE-5137"/>
        <s v="SALE-5078"/>
        <s v="SALE-5116"/>
        <s v="SALE-5117"/>
        <s v="SALE-5067"/>
        <s v="SALE-5084"/>
        <s v="SALE-5098"/>
        <s v="SALE-5150"/>
        <s v="SALE-5057"/>
        <s v="SALE-5062"/>
        <s v="SALE-5155"/>
        <s v="SALE-5058"/>
        <s v="SALE-5113"/>
        <s v="SALE-5036"/>
        <s v="SALE-5006"/>
        <s v="SALE-5072"/>
        <s v="SALE-5016"/>
        <s v="SALE-5147"/>
        <s v="SALE-5013"/>
        <s v="SALE-5146"/>
        <s v="SALE-5055"/>
        <s v="SALE-5118"/>
        <s v="SALE-5114"/>
        <s v="SALE-5105"/>
        <s v="SALE-5140"/>
        <s v="SALE-5109"/>
        <s v="SALE-5021"/>
        <s v="SALE-5052"/>
        <s v="SALE-5120"/>
        <s v="SALE-5011"/>
        <s v="SALE-5128"/>
        <s v="SALE-5027"/>
        <s v="SALE-5125"/>
        <s v="SALE-5175"/>
        <s v="SALE-5092"/>
        <s v="SALE-5102"/>
        <s v="SALE-5136"/>
        <s v="SALE-5174"/>
        <s v="SALE-5007"/>
        <s v="SALE-5101"/>
        <s v="SALE-5056"/>
        <s v="SALE-5124"/>
        <s v="SALE-5065"/>
        <s v="SALE-5126"/>
        <s v="SALE-5171"/>
        <s v="SALE-5002"/>
        <s v="SALE-5042"/>
        <s v="SALE-5049"/>
        <s v="SALE-5112"/>
        <s v="SALE-5073"/>
        <s v="SALE-5003"/>
        <s v="SALE-5069"/>
        <s v="SALE-5059"/>
        <s v="SALE-5083"/>
        <s v="SALE-5048"/>
        <s v="SALE-5122"/>
        <s v="SALE-5079"/>
        <s v="SALE-5152"/>
        <s v="SALE-5001"/>
        <s v="SALE-5082"/>
        <s v="SALE-5086"/>
        <s v="SALE-5138"/>
        <s v="SALE-5107"/>
        <s v="SALE-5106"/>
        <s v="SALE-5074"/>
        <s v="SALE-5077"/>
        <s v="SALE-5127"/>
        <s v="SALE-5149"/>
        <s v="SALE-5005"/>
        <s v="SALE-5010"/>
        <s v="SALE-5076"/>
        <s v="SALE-5123"/>
        <s v="SALE-5160"/>
        <s v="SALE-5075"/>
        <s v="SALE-5029"/>
        <s v="SALE-5164"/>
        <s v="SALE-5090"/>
        <s v="SALE-5135"/>
        <s v="SALE-5023"/>
        <s v="SALE-5153"/>
        <s v="SALE-5166"/>
        <s v="SALE-5030"/>
        <s v="SALE-5020"/>
        <s v="SALE-5046"/>
        <s v="SALE-5064"/>
        <s v="SALE-5142"/>
        <s v="SALE-5096"/>
        <s v="SALE-5115"/>
        <s v="SALE-5148"/>
        <s v="SALE-5038"/>
        <s v="SALE-5014"/>
        <s v="SALE-5066"/>
        <s v="SALE-5141"/>
        <s v="SALE-5035"/>
        <s v="SALE-5054"/>
        <s v="SALE-5158"/>
        <s v="SALE-5039"/>
        <s v="SALE-5017"/>
        <s v="SALE-5047"/>
        <s v="SALE-5089"/>
        <s v="SALE-5094"/>
        <s v="SALE-5139"/>
        <s v="SALE-5012"/>
        <s v="SALE-5043"/>
        <s v="SALE-5133"/>
        <s v="SALE-5145"/>
        <s v="SALE-5028"/>
        <s v="SALE-5070"/>
        <s v="SALE-5163"/>
        <s v="SALE-5050"/>
        <s v="SALE-5063"/>
        <s v="SALE-5132"/>
        <s v="SALE-5095"/>
        <s v="SALE-5008"/>
        <s v="SALE-5111"/>
        <s v="SALE-5156"/>
        <s v="SALE-5004"/>
        <s v="SALE-5009"/>
        <s v="SALE-5034"/>
        <s v="SALE-5161"/>
        <s v="SALE-5031"/>
        <s v="SALE-5157"/>
        <s v="SALE-5041"/>
        <s v="SALE-5129"/>
        <s v="SALE-5053"/>
        <s v="SALE-5061"/>
        <s v="SALE-5167"/>
        <s v="SALE-5081"/>
        <s v="SALE-5172"/>
        <s v="SALE-5051"/>
        <s v="SALE-5037"/>
        <s v="SALE-5134"/>
        <s v="SALE-5099"/>
        <s v="SALE-5165"/>
        <s v="SALE-5104"/>
        <s v="SALE-5060"/>
        <s v="SALE-5080"/>
        <s v="SALE-5024"/>
        <s v="SALE-5019"/>
        <s v="SALE-5131"/>
        <s v="SALE-5015"/>
        <s v="SALE-5100"/>
        <s v="SALE-5088"/>
        <s v="SALE-5085"/>
        <s v="SALE-5033"/>
        <s v="SALE-5119"/>
        <s v="SALE-5159"/>
        <s v="SALE-5168"/>
        <s v="SALE-5032"/>
        <s v="SALE-5143"/>
        <s v="SALE-5022"/>
        <s v="SALE-5044"/>
        <s v="SALE-5045"/>
        <s v="SALE-5121"/>
        <s v="SALE-5018"/>
        <s v="SALE-5025"/>
        <s v="SALE-5151"/>
        <s v="SALE-5169"/>
        <s v="SALE-5170"/>
        <s v="SALE-5071"/>
        <s v="SALE-5144"/>
        <s v="SALE-5108"/>
        <s v="SALE-5130"/>
      </sharedItems>
    </cacheField>
    <cacheField name="SaleDate" numFmtId="14">
      <sharedItems containsSemiMixedTypes="0" containsNonDate="0" containsDate="1" containsString="0" minDate="2025-08-01T00:00:00" maxDate="2026-02-28T00:00:00" count="96">
        <d v="2025-08-01T00:00:00"/>
        <d v="2025-08-04T00:00:00"/>
        <d v="2025-08-05T00:00:00"/>
        <d v="2025-08-06T00:00:00"/>
        <d v="2025-08-07T00:00:00"/>
        <d v="2025-08-08T00:00:00"/>
        <d v="2025-08-11T00:00:00"/>
        <d v="2025-08-14T00:00:00"/>
        <d v="2025-08-17T00:00:00"/>
        <d v="2025-08-19T00:00:00"/>
        <d v="2025-08-20T00:00:00"/>
        <d v="2025-08-21T00:00:00"/>
        <d v="2025-08-22T00:00:00"/>
        <d v="2025-08-24T00:00:00"/>
        <d v="2025-08-28T00:00:00"/>
        <d v="2025-09-01T00:00:00"/>
        <d v="2025-09-05T00:00:00"/>
        <d v="2025-09-06T00:00:00"/>
        <d v="2025-09-07T00:00:00"/>
        <d v="2025-09-08T00:00:00"/>
        <d v="2025-09-10T00:00:00"/>
        <d v="2025-09-14T00:00:00"/>
        <d v="2025-09-16T00:00:00"/>
        <d v="2025-09-17T00:00:00"/>
        <d v="2025-09-19T00:00:00"/>
        <d v="2025-09-20T00:00:00"/>
        <d v="2025-09-23T00:00:00"/>
        <d v="2025-09-24T00:00:00"/>
        <d v="2025-09-27T00:00:00"/>
        <d v="2025-09-28T00:00:00"/>
        <d v="2025-09-29T00:00:00"/>
        <d v="2025-10-02T00:00:00"/>
        <d v="2025-10-04T00:00:00"/>
        <d v="2025-10-07T00:00:00"/>
        <d v="2025-10-09T00:00:00"/>
        <d v="2025-10-10T00:00:00"/>
        <d v="2025-10-11T00:00:00"/>
        <d v="2025-10-12T00:00:00"/>
        <d v="2025-10-14T00:00:00"/>
        <d v="2025-10-17T00:00:00"/>
        <d v="2025-10-19T00:00:00"/>
        <d v="2025-10-20T00:00:00"/>
        <d v="2025-10-27T00:00:00"/>
        <d v="2025-10-29T00:00:00"/>
        <d v="2025-11-04T00:00:00"/>
        <d v="2025-11-09T00:00:00"/>
        <d v="2025-11-10T00:00:00"/>
        <d v="2025-11-15T00:00:00"/>
        <d v="2025-11-16T00:00:00"/>
        <d v="2025-11-19T00:00:00"/>
        <d v="2025-11-20T00:00:00"/>
        <d v="2025-11-21T00:00:00"/>
        <d v="2025-11-23T00:00:00"/>
        <d v="2025-11-25T00:00:00"/>
        <d v="2025-11-26T00:00:00"/>
        <d v="2025-11-28T00:00:00"/>
        <d v="2025-12-03T00:00:00"/>
        <d v="2025-12-05T00:00:00"/>
        <d v="2025-12-08T00:00:00"/>
        <d v="2025-12-10T00:00:00"/>
        <d v="2025-12-11T00:00:00"/>
        <d v="2025-12-13T00:00:00"/>
        <d v="2025-12-14T00:00:00"/>
        <d v="2025-12-16T00:00:00"/>
        <d v="2025-12-18T00:00:00"/>
        <d v="2025-12-19T00:00:00"/>
        <d v="2025-12-20T00:00:00"/>
        <d v="2025-12-21T00:00:00"/>
        <d v="2025-12-28T00:00:00"/>
        <d v="2025-12-29T00:00:00"/>
        <d v="2026-01-03T00:00:00"/>
        <d v="2026-01-04T00:00:00"/>
        <d v="2026-01-06T00:00:00"/>
        <d v="2026-01-07T00:00:00"/>
        <d v="2026-01-08T00:00:00"/>
        <d v="2026-01-12T00:00:00"/>
        <d v="2026-01-14T00:00:00"/>
        <d v="2026-01-16T00:00:00"/>
        <d v="2026-01-19T00:00:00"/>
        <d v="2026-01-26T00:00:00"/>
        <d v="2026-01-30T00:00:00"/>
        <d v="2026-02-01T00:00:00"/>
        <d v="2026-02-02T00:00:00"/>
        <d v="2026-02-04T00:00:00"/>
        <d v="2026-02-06T00:00:00"/>
        <d v="2026-02-09T00:00:00"/>
        <d v="2026-02-11T00:00:00"/>
        <d v="2026-02-14T00:00:00"/>
        <d v="2026-02-16T00:00:00"/>
        <d v="2026-02-17T00:00:00"/>
        <d v="2026-02-21T00:00:00"/>
        <d v="2026-02-22T00:00:00"/>
        <d v="2026-02-23T00:00:00"/>
        <d v="2026-02-25T00:00:00"/>
        <d v="2026-02-26T00:00:00"/>
        <d v="2026-02-27T00:00:00"/>
      </sharedItems>
      <fieldGroup par="16"/>
    </cacheField>
    <cacheField name="CustomerID" numFmtId="0">
      <sharedItems count="51">
        <s v="CUST-0005"/>
        <s v="CUST-0051"/>
        <s v="CUST-0031"/>
        <s v="CUST-0022"/>
        <s v="CUST-0001"/>
        <s v="CUST-0048"/>
        <s v="CUST-0043"/>
        <s v="CUST-0039"/>
        <s v="CUST-0027"/>
        <s v="CUST-0025"/>
        <s v="CUST-0054"/>
        <s v="CUST-0042"/>
        <s v="CUST-0017"/>
        <s v="CUST-0014"/>
        <s v="CUST-0002"/>
        <s v="CUST-0026"/>
        <s v="CUST-0053"/>
        <s v="CUST-0045"/>
        <s v="CUST-0041"/>
        <s v="CUST-0018"/>
        <s v="CUST-0015"/>
        <s v="CUST-0021"/>
        <s v="CUST-0029"/>
        <s v="CUST-0032"/>
        <s v="CUST-0010"/>
        <s v="CUST-0030"/>
        <s v="CUST-0003"/>
        <s v="CUST-0052"/>
        <s v="CUST-0013"/>
        <s v="CUST-0023"/>
        <s v="CUST-0020"/>
        <s v="CUST-0057"/>
        <s v="CUST-0046"/>
        <s v="CUST-0019"/>
        <s v="CUST-0036"/>
        <s v="CUST-0008"/>
        <s v="CUST-0007"/>
        <s v="CUST-0050"/>
        <s v="CUST-0024"/>
        <s v="CUST-0055"/>
        <s v="CUST-0016"/>
        <s v="CUST-0059"/>
        <s v="CUST-0004"/>
        <s v="CUST-0012"/>
        <s v="CUST-0037"/>
        <s v="CUST-0033"/>
        <s v="CUST-0047"/>
        <s v="CUST-0028"/>
        <s v="CUST-0056"/>
        <s v="CUST-0006"/>
        <s v="CUST-0011"/>
      </sharedItems>
    </cacheField>
    <cacheField name="EmployeeID" numFmtId="0">
      <sharedItems count="18">
        <s v="EMP-0013"/>
        <s v="EMP-0005"/>
        <s v="EMP-0002"/>
        <s v="EMP-0018"/>
        <s v="EMP-0004"/>
        <s v="EMP-0014"/>
        <s v="EMP-0010"/>
        <s v="EMP-0003"/>
        <s v="EMP-0017"/>
        <s v="EMP-0008"/>
        <s v="EMP-0009"/>
        <s v="EMP-0015"/>
        <s v="EMP-0012"/>
        <s v="EMP-0007"/>
        <s v="EMP-0006"/>
        <s v="EMP-0001"/>
        <s v="EMP-0016"/>
        <s v="EMP-0011"/>
      </sharedItems>
    </cacheField>
    <cacheField name="SKU" numFmtId="0">
      <sharedItems count="27">
        <s v="E-BIKE-RIDGE-W-S"/>
        <s v="E-BIKE-COMET-M-M"/>
        <s v="E-BIKE-COMET-M-L"/>
        <s v="E-BIKE-SPARK-K-S"/>
        <s v="ACC-BAG-STA"/>
        <s v="ACC-LIGHT-STA"/>
        <s v="E-BIKE-COMET-M-S"/>
        <s v="E-BIKE-COMET-W-S"/>
        <s v="ACC-PUMP-STA"/>
        <s v="ACC-FENDER-SET"/>
        <s v="E-BIKE-COMET-W-M"/>
        <s v="E-BIKE-RIDGE-M-S"/>
        <s v="E-BIKE-RIDGE-W-M"/>
        <s v="E-BIKE-SPARK-K-L"/>
        <s v="E-BIKE-COMET-W-L"/>
        <s v="ACC-ULOCK-STD"/>
        <s v="E-BIKE-RIDGE-M-L"/>
        <s v="E-BIKE-SPARK-K-M"/>
        <s v="ACC-RACK-STA"/>
        <s v="E-BIKE-RIDGE-M-M"/>
        <s v="E-BIKE-RIDGE-W-L"/>
        <s v="ACC-HELMET-WHT"/>
        <s v="ACC-MIRROR-SIDE"/>
        <s v="ACC-HELMET-BLK"/>
        <s v="ACC-KIT-REPAIR"/>
        <s v="ACC-CAGE-STA"/>
        <s v="ACC-MOUNT-STA"/>
      </sharedItems>
    </cacheField>
    <cacheField name="ProductName" numFmtId="0">
      <sharedItems count="27">
        <s v="Women's Ridge Small"/>
        <s v="Men's Comet Medium"/>
        <s v="Men's Comet Large"/>
        <s v="Kids' Spark Small"/>
        <s v="Pannier Bag"/>
        <s v="LED Light Set"/>
        <s v="Men's Comet Small"/>
        <s v="Women's Comet Small"/>
        <s v="Mini Pump"/>
        <s v="Fender Set"/>
        <s v="Women's Comet Medium"/>
        <s v="Men's Ridge Small"/>
        <s v="Women's Ridge Medium"/>
        <s v="Kids' Spark Large"/>
        <s v="Women's Comet Large"/>
        <s v="U-Lock Standard"/>
        <s v="Men's Ridge Large"/>
        <s v="Kids' Spark Medium"/>
        <s v="Rear Cargo Rack"/>
        <s v="Men's Ridge Medium"/>
        <s v="Women's Ridge Large"/>
        <s v="Helmet - White"/>
        <s v="Handlebar Mirror"/>
        <s v="Helmet - Black"/>
        <s v="Repair Kit"/>
        <s v="Bottle Cage"/>
        <s v="Phone Mount"/>
      </sharedItems>
    </cacheField>
    <cacheField name="Category" numFmtId="0">
      <sharedItems count="2">
        <s v="E-Bike"/>
        <s v="Accessory"/>
      </sharedItems>
    </cacheField>
    <cacheField name="Quantity" numFmtId="1">
      <sharedItems containsSemiMixedTypes="0" containsString="0" containsNumber="1" containsInteger="1" minValue="1" maxValue="3"/>
    </cacheField>
    <cacheField name="UnitPrice" numFmtId="164">
      <sharedItems containsSemiMixedTypes="0" containsString="0" containsNumber="1" containsInteger="1" minValue="22" maxValue="3095" count="124">
        <n v="3095"/>
        <n v="2243"/>
        <n v="2913"/>
        <n v="2410"/>
        <n v="2004"/>
        <n v="1625"/>
        <n v="89"/>
        <n v="59"/>
        <n v="2362"/>
        <n v="2539"/>
        <n v="27"/>
        <n v="2620"/>
        <n v="69"/>
        <n v="2497"/>
        <n v="2621"/>
        <n v="2322"/>
        <n v="2946"/>
        <n v="2695"/>
        <n v="1579"/>
        <n v="2614"/>
        <n v="1639"/>
        <n v="49"/>
        <n v="2215"/>
        <n v="1530"/>
        <n v="2150"/>
        <n v="2355"/>
        <n v="2269"/>
        <n v="2398"/>
        <n v="119"/>
        <n v="3037"/>
        <n v="2348"/>
        <n v="2626"/>
        <n v="2191"/>
        <n v="2516"/>
        <n v="79"/>
        <n v="2647"/>
        <n v="2653"/>
        <n v="2588"/>
        <n v="2578"/>
        <n v="2447"/>
        <n v="24"/>
        <n v="1510"/>
        <n v="1577"/>
        <n v="2349"/>
        <n v="2807"/>
        <n v="2544"/>
        <n v="2378"/>
        <n v="29"/>
        <n v="2465"/>
        <n v="22"/>
        <n v="1458"/>
        <n v="2358"/>
        <n v="2304"/>
        <n v="2560"/>
        <n v="1671"/>
        <n v="2841"/>
        <n v="2863"/>
        <n v="2406"/>
        <n v="2735"/>
        <n v="2040"/>
        <n v="2530"/>
        <n v="3005"/>
        <n v="2466"/>
        <n v="2312"/>
        <n v="2486"/>
        <n v="2806"/>
        <n v="1612"/>
        <n v="2452"/>
        <n v="34"/>
        <n v="2524"/>
        <n v="1564"/>
        <n v="2592"/>
        <n v="2517"/>
        <n v="2877"/>
        <n v="2345"/>
        <n v="2222"/>
        <n v="2574"/>
        <n v="1473"/>
        <n v="2446"/>
        <n v="2367"/>
        <n v="1574"/>
        <n v="2515"/>
        <n v="2282"/>
        <n v="2633"/>
        <n v="2457"/>
        <n v="2808"/>
        <n v="2157"/>
        <n v="2531"/>
        <n v="1959"/>
        <n v="2870"/>
        <n v="2065"/>
        <n v="2330"/>
        <n v="2551"/>
        <n v="1582"/>
        <n v="2656"/>
        <n v="2500"/>
        <n v="2713"/>
        <n v="2501"/>
        <n v="2445"/>
        <n v="2505"/>
        <n v="2402"/>
        <n v="2420"/>
        <n v="2179"/>
        <n v="2683"/>
        <n v="2289"/>
        <n v="1673"/>
        <n v="1592"/>
        <n v="2834"/>
        <n v="2331"/>
        <n v="2271"/>
        <n v="2499"/>
        <n v="2435"/>
        <n v="2317"/>
        <n v="2436"/>
        <n v="2618"/>
        <n v="1534"/>
        <n v="2460"/>
        <n v="1540"/>
        <n v="2474"/>
        <n v="2658"/>
        <n v="2944"/>
        <n v="1602"/>
        <n v="2293"/>
        <n v="1680"/>
      </sharedItems>
    </cacheField>
    <cacheField name="Discount" numFmtId="4">
      <sharedItems containsSemiMixedTypes="0" containsString="0" containsNumber="1" minValue="0" maxValue="0.2"/>
    </cacheField>
    <cacheField name="Total Sale Amount" numFmtId="164">
      <sharedItems containsSemiMixedTypes="0" containsString="0" containsNumber="1" minValue="17.600000000000001" maxValue="3095"/>
    </cacheField>
    <cacheField name="SaleChannel" numFmtId="0">
      <sharedItems count="3">
        <s v="Website"/>
        <s v="Phone Order"/>
        <s v="In-Store"/>
      </sharedItems>
    </cacheField>
    <cacheField name="PaymentMethod" numFmtId="0">
      <sharedItems count="4">
        <s v="Cash"/>
        <s v="Credit Card"/>
        <s v="Financing"/>
        <s v="Debit Card"/>
      </sharedItems>
    </cacheField>
    <cacheField name="Status" numFmtId="0">
      <sharedItems count="3">
        <s v="Completed"/>
        <s v="Picked Up"/>
        <s v="Delivered"/>
      </sharedItems>
    </cacheField>
    <cacheField name="Months (SaleDate)" numFmtId="0" databaseField="0">
      <fieldGroup base="1">
        <rangePr groupBy="months" startDate="2025-08-01T00:00:00" endDate="2026-02-28T00:00:00"/>
        <groupItems count="14">
          <s v="&lt;8/1/2025"/>
          <s v="Jan"/>
          <s v="Feb"/>
          <s v="Mar"/>
          <s v="Apr"/>
          <s v="May"/>
          <s v="Jun"/>
          <s v="Jul"/>
          <s v="Aug"/>
          <s v="Sep"/>
          <s v="Oct"/>
          <s v="Nov"/>
          <s v="Dec"/>
          <s v="&gt;2/28/2026"/>
        </groupItems>
      </fieldGroup>
    </cacheField>
    <cacheField name="Quarters (SaleDate)" numFmtId="0" databaseField="0">
      <fieldGroup base="1">
        <rangePr groupBy="quarters" startDate="2025-08-01T00:00:00" endDate="2026-02-28T00:00:00"/>
        <groupItems count="6">
          <s v="&lt;8/1/2025"/>
          <s v="Qtr1"/>
          <s v="Qtr2"/>
          <s v="Qtr3"/>
          <s v="Qtr4"/>
          <s v="&gt;2/28/2026"/>
        </groupItems>
      </fieldGroup>
    </cacheField>
    <cacheField name="Years (SaleDate)" numFmtId="0" databaseField="0">
      <fieldGroup base="1">
        <rangePr groupBy="years" startDate="2025-08-01T00:00:00" endDate="2026-02-28T00:00:00"/>
        <groupItems count="4">
          <s v="&lt;8/1/2025"/>
          <s v="2025"/>
          <s v="2026"/>
          <s v="&gt;2/28/2026"/>
        </groupItems>
      </fieldGroup>
    </cacheField>
  </cacheFields>
  <extLst>
    <ext xmlns:x14="http://schemas.microsoft.com/office/spreadsheetml/2009/9/main" uri="{725AE2AE-9491-48be-B2B4-4EB974FC3084}">
      <x14:pivotCacheDefinition pivotCacheId="305218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x v="0"/>
    <x v="0"/>
    <x v="0"/>
    <x v="0"/>
    <x v="0"/>
    <x v="0"/>
    <x v="0"/>
    <n v="1"/>
    <x v="0"/>
    <n v="0"/>
    <n v="3095"/>
    <x v="0"/>
    <x v="0"/>
    <x v="0"/>
  </r>
  <r>
    <x v="1"/>
    <x v="0"/>
    <x v="1"/>
    <x v="1"/>
    <x v="1"/>
    <x v="1"/>
    <x v="0"/>
    <n v="1"/>
    <x v="1"/>
    <n v="0.1"/>
    <n v="2018.7"/>
    <x v="1"/>
    <x v="1"/>
    <x v="0"/>
  </r>
  <r>
    <x v="2"/>
    <x v="1"/>
    <x v="2"/>
    <x v="2"/>
    <x v="0"/>
    <x v="0"/>
    <x v="0"/>
    <n v="1"/>
    <x v="2"/>
    <n v="0.1"/>
    <n v="2621.7000000000003"/>
    <x v="0"/>
    <x v="1"/>
    <x v="0"/>
  </r>
  <r>
    <x v="3"/>
    <x v="2"/>
    <x v="3"/>
    <x v="3"/>
    <x v="1"/>
    <x v="1"/>
    <x v="0"/>
    <n v="1"/>
    <x v="3"/>
    <n v="0.1"/>
    <n v="2169"/>
    <x v="0"/>
    <x v="1"/>
    <x v="1"/>
  </r>
  <r>
    <x v="4"/>
    <x v="3"/>
    <x v="4"/>
    <x v="4"/>
    <x v="2"/>
    <x v="2"/>
    <x v="0"/>
    <n v="1"/>
    <x v="4"/>
    <n v="0.1"/>
    <n v="1803.6000000000001"/>
    <x v="1"/>
    <x v="2"/>
    <x v="1"/>
  </r>
  <r>
    <x v="5"/>
    <x v="3"/>
    <x v="5"/>
    <x v="5"/>
    <x v="3"/>
    <x v="3"/>
    <x v="0"/>
    <n v="1"/>
    <x v="5"/>
    <n v="0.1"/>
    <n v="1462.5"/>
    <x v="0"/>
    <x v="2"/>
    <x v="1"/>
  </r>
  <r>
    <x v="6"/>
    <x v="3"/>
    <x v="4"/>
    <x v="4"/>
    <x v="4"/>
    <x v="4"/>
    <x v="1"/>
    <n v="1"/>
    <x v="6"/>
    <n v="0.15"/>
    <n v="75.649999999999991"/>
    <x v="1"/>
    <x v="2"/>
    <x v="1"/>
  </r>
  <r>
    <x v="7"/>
    <x v="3"/>
    <x v="6"/>
    <x v="2"/>
    <x v="5"/>
    <x v="5"/>
    <x v="1"/>
    <n v="1"/>
    <x v="7"/>
    <n v="0.1"/>
    <n v="53.1"/>
    <x v="0"/>
    <x v="3"/>
    <x v="0"/>
  </r>
  <r>
    <x v="8"/>
    <x v="4"/>
    <x v="7"/>
    <x v="1"/>
    <x v="6"/>
    <x v="6"/>
    <x v="0"/>
    <n v="1"/>
    <x v="8"/>
    <n v="0.1"/>
    <n v="2125.8000000000002"/>
    <x v="2"/>
    <x v="1"/>
    <x v="0"/>
  </r>
  <r>
    <x v="9"/>
    <x v="5"/>
    <x v="8"/>
    <x v="6"/>
    <x v="7"/>
    <x v="7"/>
    <x v="0"/>
    <n v="1"/>
    <x v="9"/>
    <n v="0.1"/>
    <n v="2285.1"/>
    <x v="2"/>
    <x v="2"/>
    <x v="1"/>
  </r>
  <r>
    <x v="10"/>
    <x v="5"/>
    <x v="8"/>
    <x v="6"/>
    <x v="8"/>
    <x v="8"/>
    <x v="1"/>
    <n v="1"/>
    <x v="10"/>
    <n v="0.15"/>
    <n v="22.95"/>
    <x v="2"/>
    <x v="2"/>
    <x v="1"/>
  </r>
  <r>
    <x v="11"/>
    <x v="6"/>
    <x v="9"/>
    <x v="2"/>
    <x v="7"/>
    <x v="7"/>
    <x v="0"/>
    <n v="1"/>
    <x v="11"/>
    <n v="0.1"/>
    <n v="2358"/>
    <x v="2"/>
    <x v="1"/>
    <x v="0"/>
  </r>
  <r>
    <x v="12"/>
    <x v="6"/>
    <x v="9"/>
    <x v="2"/>
    <x v="9"/>
    <x v="9"/>
    <x v="1"/>
    <n v="2"/>
    <x v="12"/>
    <n v="0.15"/>
    <n v="117.3"/>
    <x v="2"/>
    <x v="1"/>
    <x v="0"/>
  </r>
  <r>
    <x v="13"/>
    <x v="7"/>
    <x v="10"/>
    <x v="6"/>
    <x v="10"/>
    <x v="10"/>
    <x v="0"/>
    <n v="1"/>
    <x v="13"/>
    <n v="0.1"/>
    <n v="2247.3000000000002"/>
    <x v="2"/>
    <x v="2"/>
    <x v="0"/>
  </r>
  <r>
    <x v="14"/>
    <x v="8"/>
    <x v="11"/>
    <x v="2"/>
    <x v="7"/>
    <x v="7"/>
    <x v="0"/>
    <n v="1"/>
    <x v="14"/>
    <n v="0.1"/>
    <n v="2358.9"/>
    <x v="1"/>
    <x v="3"/>
    <x v="0"/>
  </r>
  <r>
    <x v="15"/>
    <x v="9"/>
    <x v="12"/>
    <x v="7"/>
    <x v="11"/>
    <x v="11"/>
    <x v="0"/>
    <n v="1"/>
    <x v="15"/>
    <n v="0.1"/>
    <n v="2089.8000000000002"/>
    <x v="2"/>
    <x v="0"/>
    <x v="1"/>
  </r>
  <r>
    <x v="16"/>
    <x v="10"/>
    <x v="7"/>
    <x v="1"/>
    <x v="0"/>
    <x v="0"/>
    <x v="0"/>
    <n v="1"/>
    <x v="16"/>
    <n v="0.15"/>
    <n v="2504.1"/>
    <x v="0"/>
    <x v="3"/>
    <x v="2"/>
  </r>
  <r>
    <x v="17"/>
    <x v="10"/>
    <x v="13"/>
    <x v="8"/>
    <x v="12"/>
    <x v="12"/>
    <x v="0"/>
    <n v="1"/>
    <x v="17"/>
    <n v="0"/>
    <n v="2695"/>
    <x v="1"/>
    <x v="2"/>
    <x v="1"/>
  </r>
  <r>
    <x v="18"/>
    <x v="11"/>
    <x v="12"/>
    <x v="9"/>
    <x v="13"/>
    <x v="13"/>
    <x v="0"/>
    <n v="1"/>
    <x v="18"/>
    <n v="0.15"/>
    <n v="1342.1499999999999"/>
    <x v="0"/>
    <x v="3"/>
    <x v="0"/>
  </r>
  <r>
    <x v="19"/>
    <x v="11"/>
    <x v="12"/>
    <x v="9"/>
    <x v="5"/>
    <x v="5"/>
    <x v="1"/>
    <n v="2"/>
    <x v="7"/>
    <n v="0.2"/>
    <n v="94.4"/>
    <x v="0"/>
    <x v="3"/>
    <x v="0"/>
  </r>
  <r>
    <x v="20"/>
    <x v="12"/>
    <x v="2"/>
    <x v="10"/>
    <x v="14"/>
    <x v="14"/>
    <x v="0"/>
    <n v="1"/>
    <x v="19"/>
    <n v="0.15"/>
    <n v="2221.9"/>
    <x v="1"/>
    <x v="2"/>
    <x v="0"/>
  </r>
  <r>
    <x v="21"/>
    <x v="12"/>
    <x v="14"/>
    <x v="2"/>
    <x v="3"/>
    <x v="3"/>
    <x v="0"/>
    <n v="1"/>
    <x v="20"/>
    <n v="0.1"/>
    <n v="1475.1000000000001"/>
    <x v="1"/>
    <x v="3"/>
    <x v="0"/>
  </r>
  <r>
    <x v="22"/>
    <x v="12"/>
    <x v="2"/>
    <x v="10"/>
    <x v="15"/>
    <x v="15"/>
    <x v="1"/>
    <n v="1"/>
    <x v="21"/>
    <n v="0.2"/>
    <n v="39.200000000000003"/>
    <x v="1"/>
    <x v="2"/>
    <x v="0"/>
  </r>
  <r>
    <x v="23"/>
    <x v="13"/>
    <x v="12"/>
    <x v="7"/>
    <x v="16"/>
    <x v="16"/>
    <x v="0"/>
    <n v="1"/>
    <x v="22"/>
    <n v="0.1"/>
    <n v="1993.5"/>
    <x v="0"/>
    <x v="1"/>
    <x v="1"/>
  </r>
  <r>
    <x v="24"/>
    <x v="14"/>
    <x v="2"/>
    <x v="11"/>
    <x v="17"/>
    <x v="17"/>
    <x v="0"/>
    <n v="1"/>
    <x v="23"/>
    <n v="0.1"/>
    <n v="1377"/>
    <x v="0"/>
    <x v="0"/>
    <x v="1"/>
  </r>
  <r>
    <x v="25"/>
    <x v="15"/>
    <x v="15"/>
    <x v="11"/>
    <x v="2"/>
    <x v="2"/>
    <x v="0"/>
    <n v="1"/>
    <x v="24"/>
    <n v="0.1"/>
    <n v="1935"/>
    <x v="2"/>
    <x v="2"/>
    <x v="1"/>
  </r>
  <r>
    <x v="26"/>
    <x v="16"/>
    <x v="16"/>
    <x v="5"/>
    <x v="16"/>
    <x v="16"/>
    <x v="0"/>
    <n v="1"/>
    <x v="25"/>
    <n v="0.1"/>
    <n v="2119.5"/>
    <x v="0"/>
    <x v="0"/>
    <x v="0"/>
  </r>
  <r>
    <x v="27"/>
    <x v="17"/>
    <x v="5"/>
    <x v="8"/>
    <x v="1"/>
    <x v="1"/>
    <x v="0"/>
    <n v="1"/>
    <x v="26"/>
    <n v="0.15"/>
    <n v="1928.6499999999999"/>
    <x v="0"/>
    <x v="2"/>
    <x v="2"/>
  </r>
  <r>
    <x v="28"/>
    <x v="18"/>
    <x v="17"/>
    <x v="3"/>
    <x v="16"/>
    <x v="16"/>
    <x v="0"/>
    <n v="1"/>
    <x v="27"/>
    <n v="0.1"/>
    <n v="2158.2000000000003"/>
    <x v="1"/>
    <x v="3"/>
    <x v="0"/>
  </r>
  <r>
    <x v="29"/>
    <x v="18"/>
    <x v="17"/>
    <x v="3"/>
    <x v="18"/>
    <x v="18"/>
    <x v="1"/>
    <n v="3"/>
    <x v="28"/>
    <n v="0.15"/>
    <n v="303.45"/>
    <x v="1"/>
    <x v="3"/>
    <x v="0"/>
  </r>
  <r>
    <x v="30"/>
    <x v="19"/>
    <x v="18"/>
    <x v="10"/>
    <x v="0"/>
    <x v="0"/>
    <x v="0"/>
    <n v="1"/>
    <x v="29"/>
    <n v="0.1"/>
    <n v="2733.3"/>
    <x v="1"/>
    <x v="3"/>
    <x v="1"/>
  </r>
  <r>
    <x v="31"/>
    <x v="19"/>
    <x v="18"/>
    <x v="10"/>
    <x v="5"/>
    <x v="5"/>
    <x v="1"/>
    <n v="1"/>
    <x v="7"/>
    <n v="0.15"/>
    <n v="50.15"/>
    <x v="1"/>
    <x v="3"/>
    <x v="1"/>
  </r>
  <r>
    <x v="32"/>
    <x v="20"/>
    <x v="19"/>
    <x v="11"/>
    <x v="19"/>
    <x v="19"/>
    <x v="0"/>
    <n v="1"/>
    <x v="30"/>
    <n v="0.1"/>
    <n v="2113.2000000000003"/>
    <x v="0"/>
    <x v="3"/>
    <x v="0"/>
  </r>
  <r>
    <x v="33"/>
    <x v="21"/>
    <x v="20"/>
    <x v="1"/>
    <x v="20"/>
    <x v="20"/>
    <x v="0"/>
    <n v="1"/>
    <x v="31"/>
    <n v="0.1"/>
    <n v="2363.4"/>
    <x v="0"/>
    <x v="2"/>
    <x v="2"/>
  </r>
  <r>
    <x v="34"/>
    <x v="22"/>
    <x v="4"/>
    <x v="6"/>
    <x v="2"/>
    <x v="2"/>
    <x v="0"/>
    <n v="1"/>
    <x v="32"/>
    <n v="0.2"/>
    <n v="1752.8000000000002"/>
    <x v="2"/>
    <x v="2"/>
    <x v="0"/>
  </r>
  <r>
    <x v="35"/>
    <x v="23"/>
    <x v="11"/>
    <x v="8"/>
    <x v="14"/>
    <x v="14"/>
    <x v="0"/>
    <n v="1"/>
    <x v="33"/>
    <n v="0.15"/>
    <n v="2138.6"/>
    <x v="0"/>
    <x v="1"/>
    <x v="0"/>
  </r>
  <r>
    <x v="36"/>
    <x v="23"/>
    <x v="11"/>
    <x v="8"/>
    <x v="21"/>
    <x v="21"/>
    <x v="1"/>
    <n v="2"/>
    <x v="34"/>
    <n v="0.2"/>
    <n v="126.4"/>
    <x v="0"/>
    <x v="1"/>
    <x v="0"/>
  </r>
  <r>
    <x v="37"/>
    <x v="24"/>
    <x v="21"/>
    <x v="12"/>
    <x v="14"/>
    <x v="14"/>
    <x v="0"/>
    <n v="1"/>
    <x v="35"/>
    <n v="0"/>
    <n v="2647"/>
    <x v="0"/>
    <x v="1"/>
    <x v="1"/>
  </r>
  <r>
    <x v="38"/>
    <x v="25"/>
    <x v="3"/>
    <x v="13"/>
    <x v="7"/>
    <x v="7"/>
    <x v="0"/>
    <n v="1"/>
    <x v="36"/>
    <n v="0.15"/>
    <n v="2255.0499999999997"/>
    <x v="1"/>
    <x v="1"/>
    <x v="1"/>
  </r>
  <r>
    <x v="39"/>
    <x v="25"/>
    <x v="10"/>
    <x v="1"/>
    <x v="7"/>
    <x v="7"/>
    <x v="0"/>
    <n v="1"/>
    <x v="37"/>
    <n v="0.15"/>
    <n v="2199.7999999999997"/>
    <x v="0"/>
    <x v="1"/>
    <x v="0"/>
  </r>
  <r>
    <x v="40"/>
    <x v="25"/>
    <x v="22"/>
    <x v="9"/>
    <x v="10"/>
    <x v="10"/>
    <x v="0"/>
    <n v="1"/>
    <x v="38"/>
    <n v="0.1"/>
    <n v="2320.2000000000003"/>
    <x v="2"/>
    <x v="2"/>
    <x v="0"/>
  </r>
  <r>
    <x v="41"/>
    <x v="26"/>
    <x v="22"/>
    <x v="14"/>
    <x v="7"/>
    <x v="7"/>
    <x v="0"/>
    <n v="1"/>
    <x v="39"/>
    <n v="0.15"/>
    <n v="2079.9499999999998"/>
    <x v="0"/>
    <x v="1"/>
    <x v="0"/>
  </r>
  <r>
    <x v="42"/>
    <x v="26"/>
    <x v="22"/>
    <x v="14"/>
    <x v="22"/>
    <x v="22"/>
    <x v="1"/>
    <n v="1"/>
    <x v="40"/>
    <n v="0.2"/>
    <n v="19.200000000000003"/>
    <x v="0"/>
    <x v="1"/>
    <x v="0"/>
  </r>
  <r>
    <x v="43"/>
    <x v="27"/>
    <x v="14"/>
    <x v="10"/>
    <x v="17"/>
    <x v="17"/>
    <x v="0"/>
    <n v="1"/>
    <x v="41"/>
    <n v="0.15"/>
    <n v="1283.5"/>
    <x v="0"/>
    <x v="2"/>
    <x v="2"/>
  </r>
  <r>
    <x v="44"/>
    <x v="27"/>
    <x v="14"/>
    <x v="10"/>
    <x v="23"/>
    <x v="23"/>
    <x v="1"/>
    <n v="1"/>
    <x v="34"/>
    <n v="0.2"/>
    <n v="63.2"/>
    <x v="0"/>
    <x v="2"/>
    <x v="2"/>
  </r>
  <r>
    <x v="45"/>
    <x v="27"/>
    <x v="23"/>
    <x v="5"/>
    <x v="5"/>
    <x v="5"/>
    <x v="1"/>
    <n v="1"/>
    <x v="7"/>
    <n v="0.1"/>
    <n v="53.1"/>
    <x v="2"/>
    <x v="2"/>
    <x v="0"/>
  </r>
  <r>
    <x v="46"/>
    <x v="28"/>
    <x v="24"/>
    <x v="1"/>
    <x v="3"/>
    <x v="3"/>
    <x v="0"/>
    <n v="1"/>
    <x v="42"/>
    <n v="0.1"/>
    <n v="1419.3"/>
    <x v="1"/>
    <x v="1"/>
    <x v="1"/>
  </r>
  <r>
    <x v="47"/>
    <x v="28"/>
    <x v="23"/>
    <x v="5"/>
    <x v="19"/>
    <x v="19"/>
    <x v="0"/>
    <n v="1"/>
    <x v="43"/>
    <n v="0.15"/>
    <n v="1996.6499999999999"/>
    <x v="2"/>
    <x v="2"/>
    <x v="1"/>
  </r>
  <r>
    <x v="48"/>
    <x v="28"/>
    <x v="24"/>
    <x v="1"/>
    <x v="21"/>
    <x v="21"/>
    <x v="1"/>
    <n v="1"/>
    <x v="34"/>
    <n v="0.15"/>
    <n v="67.149999999999991"/>
    <x v="1"/>
    <x v="1"/>
    <x v="1"/>
  </r>
  <r>
    <x v="49"/>
    <x v="29"/>
    <x v="15"/>
    <x v="7"/>
    <x v="21"/>
    <x v="21"/>
    <x v="1"/>
    <n v="2"/>
    <x v="34"/>
    <n v="0.15"/>
    <n v="134.29999999999998"/>
    <x v="1"/>
    <x v="0"/>
    <x v="1"/>
  </r>
  <r>
    <x v="50"/>
    <x v="30"/>
    <x v="24"/>
    <x v="7"/>
    <x v="12"/>
    <x v="12"/>
    <x v="0"/>
    <n v="1"/>
    <x v="44"/>
    <n v="0.2"/>
    <n v="2245.6"/>
    <x v="2"/>
    <x v="2"/>
    <x v="0"/>
  </r>
  <r>
    <x v="51"/>
    <x v="30"/>
    <x v="25"/>
    <x v="9"/>
    <x v="10"/>
    <x v="10"/>
    <x v="0"/>
    <n v="1"/>
    <x v="45"/>
    <n v="0.1"/>
    <n v="2289.6"/>
    <x v="0"/>
    <x v="1"/>
    <x v="2"/>
  </r>
  <r>
    <x v="52"/>
    <x v="31"/>
    <x v="26"/>
    <x v="6"/>
    <x v="16"/>
    <x v="16"/>
    <x v="0"/>
    <n v="1"/>
    <x v="46"/>
    <n v="0.1"/>
    <n v="2140.2000000000003"/>
    <x v="0"/>
    <x v="2"/>
    <x v="0"/>
  </r>
  <r>
    <x v="53"/>
    <x v="31"/>
    <x v="26"/>
    <x v="6"/>
    <x v="24"/>
    <x v="24"/>
    <x v="1"/>
    <n v="1"/>
    <x v="47"/>
    <n v="0.15"/>
    <n v="24.65"/>
    <x v="0"/>
    <x v="2"/>
    <x v="0"/>
  </r>
  <r>
    <x v="54"/>
    <x v="32"/>
    <x v="27"/>
    <x v="7"/>
    <x v="1"/>
    <x v="1"/>
    <x v="0"/>
    <n v="1"/>
    <x v="48"/>
    <n v="0.1"/>
    <n v="2218.5"/>
    <x v="2"/>
    <x v="2"/>
    <x v="0"/>
  </r>
  <r>
    <x v="55"/>
    <x v="32"/>
    <x v="27"/>
    <x v="7"/>
    <x v="5"/>
    <x v="5"/>
    <x v="1"/>
    <n v="1"/>
    <x v="7"/>
    <n v="0.15"/>
    <n v="50.15"/>
    <x v="2"/>
    <x v="2"/>
    <x v="0"/>
  </r>
  <r>
    <x v="56"/>
    <x v="33"/>
    <x v="28"/>
    <x v="8"/>
    <x v="25"/>
    <x v="25"/>
    <x v="1"/>
    <n v="3"/>
    <x v="49"/>
    <n v="0.1"/>
    <n v="59.4"/>
    <x v="0"/>
    <x v="3"/>
    <x v="1"/>
  </r>
  <r>
    <x v="57"/>
    <x v="34"/>
    <x v="2"/>
    <x v="7"/>
    <x v="17"/>
    <x v="17"/>
    <x v="0"/>
    <n v="1"/>
    <x v="50"/>
    <n v="0.15"/>
    <n v="1239.3"/>
    <x v="1"/>
    <x v="3"/>
    <x v="2"/>
  </r>
  <r>
    <x v="58"/>
    <x v="34"/>
    <x v="26"/>
    <x v="14"/>
    <x v="1"/>
    <x v="1"/>
    <x v="0"/>
    <n v="1"/>
    <x v="51"/>
    <n v="0.2"/>
    <n v="1886.4"/>
    <x v="2"/>
    <x v="0"/>
    <x v="0"/>
  </r>
  <r>
    <x v="59"/>
    <x v="34"/>
    <x v="29"/>
    <x v="15"/>
    <x v="16"/>
    <x v="16"/>
    <x v="0"/>
    <n v="1"/>
    <x v="52"/>
    <n v="0.1"/>
    <n v="2073.6"/>
    <x v="2"/>
    <x v="1"/>
    <x v="0"/>
  </r>
  <r>
    <x v="60"/>
    <x v="35"/>
    <x v="30"/>
    <x v="15"/>
    <x v="20"/>
    <x v="20"/>
    <x v="0"/>
    <n v="1"/>
    <x v="53"/>
    <n v="0.1"/>
    <n v="2304"/>
    <x v="1"/>
    <x v="1"/>
    <x v="0"/>
  </r>
  <r>
    <x v="61"/>
    <x v="36"/>
    <x v="31"/>
    <x v="4"/>
    <x v="17"/>
    <x v="17"/>
    <x v="0"/>
    <n v="1"/>
    <x v="54"/>
    <n v="0.1"/>
    <n v="1503.9"/>
    <x v="0"/>
    <x v="2"/>
    <x v="1"/>
  </r>
  <r>
    <x v="62"/>
    <x v="37"/>
    <x v="32"/>
    <x v="0"/>
    <x v="12"/>
    <x v="12"/>
    <x v="0"/>
    <n v="1"/>
    <x v="55"/>
    <n v="0.1"/>
    <n v="2556.9"/>
    <x v="0"/>
    <x v="1"/>
    <x v="1"/>
  </r>
  <r>
    <x v="63"/>
    <x v="38"/>
    <x v="32"/>
    <x v="8"/>
    <x v="12"/>
    <x v="12"/>
    <x v="0"/>
    <n v="1"/>
    <x v="56"/>
    <n v="0.15"/>
    <n v="2433.5499999999997"/>
    <x v="0"/>
    <x v="0"/>
    <x v="1"/>
  </r>
  <r>
    <x v="64"/>
    <x v="39"/>
    <x v="18"/>
    <x v="9"/>
    <x v="6"/>
    <x v="6"/>
    <x v="0"/>
    <n v="1"/>
    <x v="57"/>
    <n v="0.2"/>
    <n v="1924.8000000000002"/>
    <x v="1"/>
    <x v="2"/>
    <x v="2"/>
  </r>
  <r>
    <x v="65"/>
    <x v="39"/>
    <x v="2"/>
    <x v="3"/>
    <x v="12"/>
    <x v="12"/>
    <x v="0"/>
    <n v="1"/>
    <x v="58"/>
    <n v="0.2"/>
    <n v="2188"/>
    <x v="0"/>
    <x v="1"/>
    <x v="0"/>
  </r>
  <r>
    <x v="66"/>
    <x v="40"/>
    <x v="18"/>
    <x v="6"/>
    <x v="2"/>
    <x v="2"/>
    <x v="0"/>
    <n v="1"/>
    <x v="59"/>
    <n v="0.1"/>
    <n v="1836"/>
    <x v="2"/>
    <x v="3"/>
    <x v="1"/>
  </r>
  <r>
    <x v="67"/>
    <x v="40"/>
    <x v="18"/>
    <x v="6"/>
    <x v="18"/>
    <x v="18"/>
    <x v="1"/>
    <n v="1"/>
    <x v="28"/>
    <n v="0.15"/>
    <n v="101.14999999999999"/>
    <x v="2"/>
    <x v="3"/>
    <x v="1"/>
  </r>
  <r>
    <x v="68"/>
    <x v="41"/>
    <x v="28"/>
    <x v="12"/>
    <x v="11"/>
    <x v="11"/>
    <x v="0"/>
    <n v="1"/>
    <x v="60"/>
    <n v="0.15"/>
    <n v="2150.5"/>
    <x v="2"/>
    <x v="0"/>
    <x v="2"/>
  </r>
  <r>
    <x v="69"/>
    <x v="41"/>
    <x v="28"/>
    <x v="12"/>
    <x v="9"/>
    <x v="9"/>
    <x v="1"/>
    <n v="2"/>
    <x v="12"/>
    <n v="0.2"/>
    <n v="110.4"/>
    <x v="2"/>
    <x v="0"/>
    <x v="2"/>
  </r>
  <r>
    <x v="70"/>
    <x v="42"/>
    <x v="17"/>
    <x v="12"/>
    <x v="0"/>
    <x v="0"/>
    <x v="0"/>
    <n v="1"/>
    <x v="61"/>
    <n v="0.2"/>
    <n v="2404"/>
    <x v="0"/>
    <x v="0"/>
    <x v="0"/>
  </r>
  <r>
    <x v="71"/>
    <x v="42"/>
    <x v="33"/>
    <x v="6"/>
    <x v="19"/>
    <x v="19"/>
    <x v="0"/>
    <n v="1"/>
    <x v="62"/>
    <n v="0.1"/>
    <n v="2219.4"/>
    <x v="1"/>
    <x v="3"/>
    <x v="1"/>
  </r>
  <r>
    <x v="72"/>
    <x v="42"/>
    <x v="34"/>
    <x v="7"/>
    <x v="1"/>
    <x v="1"/>
    <x v="0"/>
    <n v="1"/>
    <x v="63"/>
    <n v="0"/>
    <n v="2312"/>
    <x v="2"/>
    <x v="3"/>
    <x v="0"/>
  </r>
  <r>
    <x v="73"/>
    <x v="42"/>
    <x v="17"/>
    <x v="12"/>
    <x v="9"/>
    <x v="9"/>
    <x v="1"/>
    <n v="1"/>
    <x v="12"/>
    <n v="0.1"/>
    <n v="62.1"/>
    <x v="0"/>
    <x v="0"/>
    <x v="0"/>
  </r>
  <r>
    <x v="74"/>
    <x v="43"/>
    <x v="8"/>
    <x v="4"/>
    <x v="10"/>
    <x v="10"/>
    <x v="0"/>
    <n v="1"/>
    <x v="64"/>
    <n v="0.2"/>
    <n v="1988.8000000000002"/>
    <x v="2"/>
    <x v="0"/>
    <x v="0"/>
  </r>
  <r>
    <x v="75"/>
    <x v="44"/>
    <x v="3"/>
    <x v="11"/>
    <x v="12"/>
    <x v="12"/>
    <x v="0"/>
    <n v="1"/>
    <x v="65"/>
    <n v="0.2"/>
    <n v="2244.8000000000002"/>
    <x v="2"/>
    <x v="1"/>
    <x v="0"/>
  </r>
  <r>
    <x v="76"/>
    <x v="45"/>
    <x v="14"/>
    <x v="14"/>
    <x v="13"/>
    <x v="13"/>
    <x v="0"/>
    <n v="1"/>
    <x v="66"/>
    <n v="0.1"/>
    <n v="1450.8"/>
    <x v="0"/>
    <x v="0"/>
    <x v="1"/>
  </r>
  <r>
    <x v="77"/>
    <x v="45"/>
    <x v="9"/>
    <x v="7"/>
    <x v="14"/>
    <x v="14"/>
    <x v="0"/>
    <n v="1"/>
    <x v="67"/>
    <n v="0.2"/>
    <n v="1961.6000000000001"/>
    <x v="0"/>
    <x v="3"/>
    <x v="0"/>
  </r>
  <r>
    <x v="78"/>
    <x v="45"/>
    <x v="14"/>
    <x v="14"/>
    <x v="24"/>
    <x v="24"/>
    <x v="1"/>
    <n v="1"/>
    <x v="47"/>
    <n v="0.15"/>
    <n v="24.65"/>
    <x v="0"/>
    <x v="0"/>
    <x v="1"/>
  </r>
  <r>
    <x v="79"/>
    <x v="45"/>
    <x v="9"/>
    <x v="7"/>
    <x v="26"/>
    <x v="26"/>
    <x v="1"/>
    <n v="2"/>
    <x v="68"/>
    <n v="0.1"/>
    <n v="61.2"/>
    <x v="0"/>
    <x v="3"/>
    <x v="0"/>
  </r>
  <r>
    <x v="80"/>
    <x v="46"/>
    <x v="15"/>
    <x v="16"/>
    <x v="20"/>
    <x v="20"/>
    <x v="0"/>
    <n v="1"/>
    <x v="69"/>
    <n v="0.2"/>
    <n v="2019.2"/>
    <x v="2"/>
    <x v="0"/>
    <x v="1"/>
  </r>
  <r>
    <x v="81"/>
    <x v="46"/>
    <x v="15"/>
    <x v="0"/>
    <x v="13"/>
    <x v="13"/>
    <x v="0"/>
    <n v="1"/>
    <x v="70"/>
    <n v="0.1"/>
    <n v="1407.6000000000001"/>
    <x v="0"/>
    <x v="0"/>
    <x v="0"/>
  </r>
  <r>
    <x v="82"/>
    <x v="46"/>
    <x v="35"/>
    <x v="13"/>
    <x v="14"/>
    <x v="14"/>
    <x v="0"/>
    <n v="1"/>
    <x v="71"/>
    <n v="0.1"/>
    <n v="2332.8000000000002"/>
    <x v="2"/>
    <x v="3"/>
    <x v="0"/>
  </r>
  <r>
    <x v="83"/>
    <x v="46"/>
    <x v="15"/>
    <x v="16"/>
    <x v="22"/>
    <x v="22"/>
    <x v="1"/>
    <n v="1"/>
    <x v="40"/>
    <n v="0.15"/>
    <n v="20.399999999999999"/>
    <x v="2"/>
    <x v="0"/>
    <x v="1"/>
  </r>
  <r>
    <x v="84"/>
    <x v="46"/>
    <x v="15"/>
    <x v="0"/>
    <x v="21"/>
    <x v="21"/>
    <x v="1"/>
    <n v="1"/>
    <x v="34"/>
    <n v="0.2"/>
    <n v="63.2"/>
    <x v="0"/>
    <x v="0"/>
    <x v="0"/>
  </r>
  <r>
    <x v="85"/>
    <x v="47"/>
    <x v="29"/>
    <x v="0"/>
    <x v="10"/>
    <x v="10"/>
    <x v="0"/>
    <n v="1"/>
    <x v="72"/>
    <n v="0.15"/>
    <n v="2139.4499999999998"/>
    <x v="2"/>
    <x v="3"/>
    <x v="0"/>
  </r>
  <r>
    <x v="86"/>
    <x v="48"/>
    <x v="16"/>
    <x v="8"/>
    <x v="12"/>
    <x v="12"/>
    <x v="0"/>
    <n v="1"/>
    <x v="73"/>
    <n v="0.15"/>
    <n v="2445.4499999999998"/>
    <x v="1"/>
    <x v="2"/>
    <x v="2"/>
  </r>
  <r>
    <x v="87"/>
    <x v="48"/>
    <x v="16"/>
    <x v="8"/>
    <x v="23"/>
    <x v="23"/>
    <x v="1"/>
    <n v="1"/>
    <x v="34"/>
    <n v="0.2"/>
    <n v="63.2"/>
    <x v="1"/>
    <x v="2"/>
    <x v="2"/>
  </r>
  <r>
    <x v="88"/>
    <x v="49"/>
    <x v="30"/>
    <x v="15"/>
    <x v="11"/>
    <x v="11"/>
    <x v="0"/>
    <n v="1"/>
    <x v="13"/>
    <n v="0.15"/>
    <n v="2122.4499999999998"/>
    <x v="2"/>
    <x v="0"/>
    <x v="1"/>
  </r>
  <r>
    <x v="89"/>
    <x v="49"/>
    <x v="30"/>
    <x v="15"/>
    <x v="25"/>
    <x v="25"/>
    <x v="1"/>
    <n v="1"/>
    <x v="49"/>
    <n v="0.2"/>
    <n v="17.600000000000001"/>
    <x v="2"/>
    <x v="0"/>
    <x v="1"/>
  </r>
  <r>
    <x v="90"/>
    <x v="50"/>
    <x v="1"/>
    <x v="17"/>
    <x v="19"/>
    <x v="19"/>
    <x v="0"/>
    <n v="1"/>
    <x v="74"/>
    <n v="0.15"/>
    <n v="1993.25"/>
    <x v="1"/>
    <x v="0"/>
    <x v="1"/>
  </r>
  <r>
    <x v="91"/>
    <x v="50"/>
    <x v="1"/>
    <x v="17"/>
    <x v="5"/>
    <x v="5"/>
    <x v="1"/>
    <n v="1"/>
    <x v="7"/>
    <n v="0.2"/>
    <n v="47.2"/>
    <x v="1"/>
    <x v="0"/>
    <x v="1"/>
  </r>
  <r>
    <x v="92"/>
    <x v="50"/>
    <x v="36"/>
    <x v="11"/>
    <x v="8"/>
    <x v="8"/>
    <x v="1"/>
    <n v="1"/>
    <x v="10"/>
    <n v="0.1"/>
    <n v="24.3"/>
    <x v="0"/>
    <x v="1"/>
    <x v="1"/>
  </r>
  <r>
    <x v="93"/>
    <x v="51"/>
    <x v="37"/>
    <x v="14"/>
    <x v="16"/>
    <x v="16"/>
    <x v="0"/>
    <n v="1"/>
    <x v="75"/>
    <n v="0.1"/>
    <n v="1999.8"/>
    <x v="2"/>
    <x v="2"/>
    <x v="0"/>
  </r>
  <r>
    <x v="94"/>
    <x v="52"/>
    <x v="27"/>
    <x v="12"/>
    <x v="20"/>
    <x v="20"/>
    <x v="0"/>
    <n v="1"/>
    <x v="76"/>
    <n v="0.2"/>
    <n v="2059.2000000000003"/>
    <x v="2"/>
    <x v="2"/>
    <x v="0"/>
  </r>
  <r>
    <x v="95"/>
    <x v="53"/>
    <x v="4"/>
    <x v="17"/>
    <x v="17"/>
    <x v="17"/>
    <x v="0"/>
    <n v="1"/>
    <x v="77"/>
    <n v="0.1"/>
    <n v="1325.7"/>
    <x v="0"/>
    <x v="3"/>
    <x v="2"/>
  </r>
  <r>
    <x v="96"/>
    <x v="53"/>
    <x v="27"/>
    <x v="7"/>
    <x v="10"/>
    <x v="10"/>
    <x v="0"/>
    <n v="1"/>
    <x v="78"/>
    <n v="0.1"/>
    <n v="2201.4"/>
    <x v="1"/>
    <x v="1"/>
    <x v="2"/>
  </r>
  <r>
    <x v="97"/>
    <x v="53"/>
    <x v="4"/>
    <x v="17"/>
    <x v="26"/>
    <x v="26"/>
    <x v="1"/>
    <n v="1"/>
    <x v="68"/>
    <n v="0.15"/>
    <n v="28.9"/>
    <x v="0"/>
    <x v="3"/>
    <x v="2"/>
  </r>
  <r>
    <x v="98"/>
    <x v="54"/>
    <x v="19"/>
    <x v="17"/>
    <x v="16"/>
    <x v="16"/>
    <x v="0"/>
    <n v="1"/>
    <x v="79"/>
    <n v="0.15"/>
    <n v="2011.95"/>
    <x v="2"/>
    <x v="0"/>
    <x v="2"/>
  </r>
  <r>
    <x v="99"/>
    <x v="54"/>
    <x v="38"/>
    <x v="7"/>
    <x v="17"/>
    <x v="17"/>
    <x v="0"/>
    <n v="1"/>
    <x v="80"/>
    <n v="0.1"/>
    <n v="1416.6000000000001"/>
    <x v="2"/>
    <x v="0"/>
    <x v="0"/>
  </r>
  <r>
    <x v="100"/>
    <x v="54"/>
    <x v="38"/>
    <x v="7"/>
    <x v="22"/>
    <x v="22"/>
    <x v="1"/>
    <n v="1"/>
    <x v="40"/>
    <n v="0.15"/>
    <n v="20.399999999999999"/>
    <x v="2"/>
    <x v="0"/>
    <x v="0"/>
  </r>
  <r>
    <x v="101"/>
    <x v="55"/>
    <x v="20"/>
    <x v="4"/>
    <x v="10"/>
    <x v="10"/>
    <x v="0"/>
    <n v="1"/>
    <x v="81"/>
    <n v="0.15"/>
    <n v="2137.75"/>
    <x v="0"/>
    <x v="2"/>
    <x v="0"/>
  </r>
  <r>
    <x v="102"/>
    <x v="56"/>
    <x v="25"/>
    <x v="16"/>
    <x v="1"/>
    <x v="1"/>
    <x v="0"/>
    <n v="1"/>
    <x v="82"/>
    <n v="0.15"/>
    <n v="1939.7"/>
    <x v="0"/>
    <x v="1"/>
    <x v="0"/>
  </r>
  <r>
    <x v="103"/>
    <x v="57"/>
    <x v="39"/>
    <x v="0"/>
    <x v="20"/>
    <x v="20"/>
    <x v="0"/>
    <n v="1"/>
    <x v="83"/>
    <n v="0.1"/>
    <n v="2369.7000000000003"/>
    <x v="0"/>
    <x v="3"/>
    <x v="0"/>
  </r>
  <r>
    <x v="104"/>
    <x v="57"/>
    <x v="39"/>
    <x v="0"/>
    <x v="4"/>
    <x v="4"/>
    <x v="1"/>
    <n v="1"/>
    <x v="6"/>
    <n v="0.15"/>
    <n v="75.649999999999991"/>
    <x v="0"/>
    <x v="3"/>
    <x v="0"/>
  </r>
  <r>
    <x v="105"/>
    <x v="58"/>
    <x v="40"/>
    <x v="8"/>
    <x v="16"/>
    <x v="16"/>
    <x v="0"/>
    <n v="1"/>
    <x v="84"/>
    <n v="0.1"/>
    <n v="2211.3000000000002"/>
    <x v="1"/>
    <x v="2"/>
    <x v="1"/>
  </r>
  <r>
    <x v="106"/>
    <x v="58"/>
    <x v="6"/>
    <x v="6"/>
    <x v="12"/>
    <x v="12"/>
    <x v="0"/>
    <n v="1"/>
    <x v="85"/>
    <n v="0.15"/>
    <n v="2386.7999999999997"/>
    <x v="2"/>
    <x v="3"/>
    <x v="0"/>
  </r>
  <r>
    <x v="107"/>
    <x v="58"/>
    <x v="6"/>
    <x v="6"/>
    <x v="26"/>
    <x v="26"/>
    <x v="1"/>
    <n v="1"/>
    <x v="68"/>
    <n v="0.2"/>
    <n v="27.200000000000003"/>
    <x v="2"/>
    <x v="3"/>
    <x v="0"/>
  </r>
  <r>
    <x v="108"/>
    <x v="59"/>
    <x v="15"/>
    <x v="17"/>
    <x v="2"/>
    <x v="2"/>
    <x v="0"/>
    <n v="1"/>
    <x v="86"/>
    <n v="0.1"/>
    <n v="1941.3"/>
    <x v="2"/>
    <x v="3"/>
    <x v="0"/>
  </r>
  <r>
    <x v="109"/>
    <x v="60"/>
    <x v="38"/>
    <x v="14"/>
    <x v="20"/>
    <x v="20"/>
    <x v="0"/>
    <n v="1"/>
    <x v="87"/>
    <n v="0.2"/>
    <n v="2024.8000000000002"/>
    <x v="2"/>
    <x v="3"/>
    <x v="0"/>
  </r>
  <r>
    <x v="110"/>
    <x v="61"/>
    <x v="32"/>
    <x v="9"/>
    <x v="2"/>
    <x v="2"/>
    <x v="0"/>
    <n v="1"/>
    <x v="88"/>
    <n v="0.2"/>
    <n v="1567.2"/>
    <x v="2"/>
    <x v="3"/>
    <x v="0"/>
  </r>
  <r>
    <x v="111"/>
    <x v="62"/>
    <x v="18"/>
    <x v="13"/>
    <x v="12"/>
    <x v="12"/>
    <x v="0"/>
    <n v="1"/>
    <x v="89"/>
    <n v="0.2"/>
    <n v="2296"/>
    <x v="0"/>
    <x v="2"/>
    <x v="1"/>
  </r>
  <r>
    <x v="112"/>
    <x v="62"/>
    <x v="18"/>
    <x v="5"/>
    <x v="2"/>
    <x v="2"/>
    <x v="0"/>
    <n v="1"/>
    <x v="90"/>
    <n v="0.1"/>
    <n v="1858.5"/>
    <x v="2"/>
    <x v="1"/>
    <x v="0"/>
  </r>
  <r>
    <x v="113"/>
    <x v="62"/>
    <x v="18"/>
    <x v="13"/>
    <x v="23"/>
    <x v="23"/>
    <x v="1"/>
    <n v="1"/>
    <x v="34"/>
    <n v="0.15"/>
    <n v="67.149999999999991"/>
    <x v="0"/>
    <x v="2"/>
    <x v="1"/>
  </r>
  <r>
    <x v="114"/>
    <x v="63"/>
    <x v="36"/>
    <x v="12"/>
    <x v="6"/>
    <x v="6"/>
    <x v="0"/>
    <n v="1"/>
    <x v="91"/>
    <n v="0.15"/>
    <n v="1980.5"/>
    <x v="2"/>
    <x v="1"/>
    <x v="0"/>
  </r>
  <r>
    <x v="115"/>
    <x v="63"/>
    <x v="41"/>
    <x v="8"/>
    <x v="11"/>
    <x v="11"/>
    <x v="0"/>
    <n v="1"/>
    <x v="74"/>
    <n v="0.1"/>
    <n v="2110.5"/>
    <x v="0"/>
    <x v="3"/>
    <x v="0"/>
  </r>
  <r>
    <x v="116"/>
    <x v="63"/>
    <x v="36"/>
    <x v="12"/>
    <x v="26"/>
    <x v="26"/>
    <x v="1"/>
    <n v="2"/>
    <x v="68"/>
    <n v="0.2"/>
    <n v="54.400000000000006"/>
    <x v="2"/>
    <x v="1"/>
    <x v="0"/>
  </r>
  <r>
    <x v="117"/>
    <x v="63"/>
    <x v="41"/>
    <x v="8"/>
    <x v="8"/>
    <x v="8"/>
    <x v="1"/>
    <n v="1"/>
    <x v="10"/>
    <n v="0.15"/>
    <n v="22.95"/>
    <x v="0"/>
    <x v="3"/>
    <x v="0"/>
  </r>
  <r>
    <x v="118"/>
    <x v="64"/>
    <x v="8"/>
    <x v="1"/>
    <x v="14"/>
    <x v="14"/>
    <x v="0"/>
    <n v="1"/>
    <x v="92"/>
    <n v="0.1"/>
    <n v="2295.9"/>
    <x v="1"/>
    <x v="3"/>
    <x v="1"/>
  </r>
  <r>
    <x v="119"/>
    <x v="65"/>
    <x v="28"/>
    <x v="6"/>
    <x v="3"/>
    <x v="3"/>
    <x v="0"/>
    <n v="1"/>
    <x v="93"/>
    <n v="0.1"/>
    <n v="1423.8"/>
    <x v="0"/>
    <x v="1"/>
    <x v="0"/>
  </r>
  <r>
    <x v="120"/>
    <x v="65"/>
    <x v="28"/>
    <x v="6"/>
    <x v="24"/>
    <x v="24"/>
    <x v="1"/>
    <n v="1"/>
    <x v="47"/>
    <n v="0.15"/>
    <n v="24.65"/>
    <x v="0"/>
    <x v="1"/>
    <x v="0"/>
  </r>
  <r>
    <x v="121"/>
    <x v="66"/>
    <x v="28"/>
    <x v="8"/>
    <x v="20"/>
    <x v="20"/>
    <x v="0"/>
    <n v="1"/>
    <x v="94"/>
    <n v="0.2"/>
    <n v="2124.8000000000002"/>
    <x v="2"/>
    <x v="0"/>
    <x v="0"/>
  </r>
  <r>
    <x v="122"/>
    <x v="67"/>
    <x v="42"/>
    <x v="15"/>
    <x v="11"/>
    <x v="11"/>
    <x v="0"/>
    <n v="1"/>
    <x v="95"/>
    <n v="0.1"/>
    <n v="2250"/>
    <x v="1"/>
    <x v="2"/>
    <x v="1"/>
  </r>
  <r>
    <x v="123"/>
    <x v="67"/>
    <x v="42"/>
    <x v="15"/>
    <x v="21"/>
    <x v="21"/>
    <x v="1"/>
    <n v="1"/>
    <x v="34"/>
    <n v="0.15"/>
    <n v="67.149999999999991"/>
    <x v="1"/>
    <x v="2"/>
    <x v="1"/>
  </r>
  <r>
    <x v="124"/>
    <x v="68"/>
    <x v="28"/>
    <x v="0"/>
    <x v="10"/>
    <x v="10"/>
    <x v="0"/>
    <n v="1"/>
    <x v="96"/>
    <n v="0.1"/>
    <n v="2441.7000000000003"/>
    <x v="2"/>
    <x v="1"/>
    <x v="0"/>
  </r>
  <r>
    <x v="125"/>
    <x v="69"/>
    <x v="43"/>
    <x v="10"/>
    <x v="6"/>
    <x v="6"/>
    <x v="0"/>
    <n v="1"/>
    <x v="97"/>
    <n v="0"/>
    <n v="2501"/>
    <x v="2"/>
    <x v="2"/>
    <x v="1"/>
  </r>
  <r>
    <x v="126"/>
    <x v="70"/>
    <x v="3"/>
    <x v="12"/>
    <x v="7"/>
    <x v="7"/>
    <x v="0"/>
    <n v="1"/>
    <x v="98"/>
    <n v="0.1"/>
    <n v="2200.5"/>
    <x v="0"/>
    <x v="1"/>
    <x v="0"/>
  </r>
  <r>
    <x v="127"/>
    <x v="70"/>
    <x v="3"/>
    <x v="12"/>
    <x v="24"/>
    <x v="24"/>
    <x v="1"/>
    <n v="1"/>
    <x v="47"/>
    <n v="0.15"/>
    <n v="24.65"/>
    <x v="0"/>
    <x v="1"/>
    <x v="0"/>
  </r>
  <r>
    <x v="128"/>
    <x v="71"/>
    <x v="35"/>
    <x v="16"/>
    <x v="14"/>
    <x v="14"/>
    <x v="0"/>
    <n v="1"/>
    <x v="99"/>
    <n v="0.15"/>
    <n v="2129.25"/>
    <x v="2"/>
    <x v="3"/>
    <x v="0"/>
  </r>
  <r>
    <x v="129"/>
    <x v="71"/>
    <x v="44"/>
    <x v="17"/>
    <x v="16"/>
    <x v="16"/>
    <x v="0"/>
    <n v="1"/>
    <x v="100"/>
    <n v="0"/>
    <n v="2402"/>
    <x v="1"/>
    <x v="1"/>
    <x v="1"/>
  </r>
  <r>
    <x v="130"/>
    <x v="71"/>
    <x v="45"/>
    <x v="8"/>
    <x v="19"/>
    <x v="19"/>
    <x v="0"/>
    <n v="1"/>
    <x v="101"/>
    <n v="0.1"/>
    <n v="2178"/>
    <x v="1"/>
    <x v="3"/>
    <x v="1"/>
  </r>
  <r>
    <x v="131"/>
    <x v="71"/>
    <x v="45"/>
    <x v="8"/>
    <x v="8"/>
    <x v="8"/>
    <x v="1"/>
    <n v="1"/>
    <x v="10"/>
    <n v="0.15"/>
    <n v="22.95"/>
    <x v="1"/>
    <x v="3"/>
    <x v="1"/>
  </r>
  <r>
    <x v="132"/>
    <x v="72"/>
    <x v="46"/>
    <x v="4"/>
    <x v="2"/>
    <x v="2"/>
    <x v="0"/>
    <n v="1"/>
    <x v="102"/>
    <n v="0.1"/>
    <n v="1961.1000000000001"/>
    <x v="2"/>
    <x v="3"/>
    <x v="2"/>
  </r>
  <r>
    <x v="133"/>
    <x v="72"/>
    <x v="46"/>
    <x v="4"/>
    <x v="4"/>
    <x v="4"/>
    <x v="1"/>
    <n v="2"/>
    <x v="6"/>
    <n v="0.15"/>
    <n v="151.29999999999998"/>
    <x v="2"/>
    <x v="3"/>
    <x v="2"/>
  </r>
  <r>
    <x v="134"/>
    <x v="73"/>
    <x v="33"/>
    <x v="8"/>
    <x v="14"/>
    <x v="14"/>
    <x v="0"/>
    <n v="1"/>
    <x v="103"/>
    <n v="0.15"/>
    <n v="2280.5499999999997"/>
    <x v="2"/>
    <x v="2"/>
    <x v="0"/>
  </r>
  <r>
    <x v="135"/>
    <x v="73"/>
    <x v="33"/>
    <x v="8"/>
    <x v="25"/>
    <x v="25"/>
    <x v="1"/>
    <n v="1"/>
    <x v="49"/>
    <n v="0.2"/>
    <n v="17.600000000000001"/>
    <x v="2"/>
    <x v="2"/>
    <x v="0"/>
  </r>
  <r>
    <x v="136"/>
    <x v="74"/>
    <x v="5"/>
    <x v="10"/>
    <x v="6"/>
    <x v="6"/>
    <x v="0"/>
    <n v="1"/>
    <x v="104"/>
    <n v="0.2"/>
    <n v="1831.2"/>
    <x v="2"/>
    <x v="1"/>
    <x v="0"/>
  </r>
  <r>
    <x v="137"/>
    <x v="74"/>
    <x v="47"/>
    <x v="8"/>
    <x v="17"/>
    <x v="17"/>
    <x v="0"/>
    <n v="1"/>
    <x v="105"/>
    <n v="0"/>
    <n v="1673"/>
    <x v="1"/>
    <x v="1"/>
    <x v="2"/>
  </r>
  <r>
    <x v="138"/>
    <x v="74"/>
    <x v="11"/>
    <x v="6"/>
    <x v="15"/>
    <x v="15"/>
    <x v="1"/>
    <n v="1"/>
    <x v="21"/>
    <n v="0.1"/>
    <n v="44.1"/>
    <x v="2"/>
    <x v="3"/>
    <x v="0"/>
  </r>
  <r>
    <x v="139"/>
    <x v="75"/>
    <x v="48"/>
    <x v="6"/>
    <x v="3"/>
    <x v="3"/>
    <x v="0"/>
    <n v="1"/>
    <x v="106"/>
    <n v="0"/>
    <n v="1592"/>
    <x v="2"/>
    <x v="2"/>
    <x v="0"/>
  </r>
  <r>
    <x v="140"/>
    <x v="76"/>
    <x v="8"/>
    <x v="11"/>
    <x v="18"/>
    <x v="18"/>
    <x v="1"/>
    <n v="1"/>
    <x v="28"/>
    <n v="0.15"/>
    <n v="101.14999999999999"/>
    <x v="2"/>
    <x v="2"/>
    <x v="0"/>
  </r>
  <r>
    <x v="141"/>
    <x v="77"/>
    <x v="23"/>
    <x v="3"/>
    <x v="12"/>
    <x v="12"/>
    <x v="0"/>
    <n v="1"/>
    <x v="107"/>
    <n v="0.2"/>
    <n v="2267.2000000000003"/>
    <x v="1"/>
    <x v="3"/>
    <x v="0"/>
  </r>
  <r>
    <x v="142"/>
    <x v="78"/>
    <x v="30"/>
    <x v="4"/>
    <x v="1"/>
    <x v="1"/>
    <x v="0"/>
    <n v="1"/>
    <x v="108"/>
    <n v="0.1"/>
    <n v="2097.9"/>
    <x v="1"/>
    <x v="3"/>
    <x v="0"/>
  </r>
  <r>
    <x v="143"/>
    <x v="78"/>
    <x v="30"/>
    <x v="4"/>
    <x v="18"/>
    <x v="18"/>
    <x v="1"/>
    <n v="2"/>
    <x v="28"/>
    <n v="0.15"/>
    <n v="202.29999999999998"/>
    <x v="1"/>
    <x v="3"/>
    <x v="0"/>
  </r>
  <r>
    <x v="144"/>
    <x v="79"/>
    <x v="3"/>
    <x v="5"/>
    <x v="19"/>
    <x v="19"/>
    <x v="0"/>
    <n v="1"/>
    <x v="109"/>
    <n v="0.2"/>
    <n v="1816.8000000000002"/>
    <x v="1"/>
    <x v="0"/>
    <x v="0"/>
  </r>
  <r>
    <x v="145"/>
    <x v="79"/>
    <x v="3"/>
    <x v="5"/>
    <x v="8"/>
    <x v="8"/>
    <x v="1"/>
    <n v="2"/>
    <x v="10"/>
    <n v="0.1"/>
    <n v="48.6"/>
    <x v="1"/>
    <x v="0"/>
    <x v="0"/>
  </r>
  <r>
    <x v="146"/>
    <x v="80"/>
    <x v="31"/>
    <x v="17"/>
    <x v="11"/>
    <x v="11"/>
    <x v="0"/>
    <n v="1"/>
    <x v="110"/>
    <n v="0.15"/>
    <n v="2124.15"/>
    <x v="2"/>
    <x v="1"/>
    <x v="0"/>
  </r>
  <r>
    <x v="147"/>
    <x v="81"/>
    <x v="23"/>
    <x v="1"/>
    <x v="11"/>
    <x v="11"/>
    <x v="0"/>
    <n v="1"/>
    <x v="111"/>
    <n v="0.1"/>
    <n v="2191.5"/>
    <x v="1"/>
    <x v="2"/>
    <x v="0"/>
  </r>
  <r>
    <x v="148"/>
    <x v="81"/>
    <x v="49"/>
    <x v="2"/>
    <x v="16"/>
    <x v="16"/>
    <x v="0"/>
    <n v="1"/>
    <x v="112"/>
    <n v="0"/>
    <n v="2317"/>
    <x v="0"/>
    <x v="0"/>
    <x v="2"/>
  </r>
  <r>
    <x v="149"/>
    <x v="82"/>
    <x v="50"/>
    <x v="14"/>
    <x v="11"/>
    <x v="11"/>
    <x v="0"/>
    <n v="1"/>
    <x v="63"/>
    <n v="0"/>
    <n v="2312"/>
    <x v="2"/>
    <x v="2"/>
    <x v="2"/>
  </r>
  <r>
    <x v="150"/>
    <x v="83"/>
    <x v="14"/>
    <x v="15"/>
    <x v="19"/>
    <x v="19"/>
    <x v="0"/>
    <n v="1"/>
    <x v="113"/>
    <n v="0.2"/>
    <n v="1948.8000000000002"/>
    <x v="0"/>
    <x v="3"/>
    <x v="0"/>
  </r>
  <r>
    <x v="151"/>
    <x v="83"/>
    <x v="14"/>
    <x v="15"/>
    <x v="18"/>
    <x v="18"/>
    <x v="1"/>
    <n v="1"/>
    <x v="28"/>
    <n v="0.1"/>
    <n v="107.10000000000001"/>
    <x v="0"/>
    <x v="3"/>
    <x v="0"/>
  </r>
  <r>
    <x v="152"/>
    <x v="84"/>
    <x v="12"/>
    <x v="16"/>
    <x v="1"/>
    <x v="1"/>
    <x v="0"/>
    <n v="1"/>
    <x v="27"/>
    <n v="0.15"/>
    <n v="2038.3"/>
    <x v="2"/>
    <x v="1"/>
    <x v="0"/>
  </r>
  <r>
    <x v="153"/>
    <x v="84"/>
    <x v="39"/>
    <x v="8"/>
    <x v="6"/>
    <x v="6"/>
    <x v="0"/>
    <n v="1"/>
    <x v="100"/>
    <n v="0.2"/>
    <n v="1921.6000000000001"/>
    <x v="2"/>
    <x v="0"/>
    <x v="0"/>
  </r>
  <r>
    <x v="154"/>
    <x v="85"/>
    <x v="42"/>
    <x v="16"/>
    <x v="10"/>
    <x v="10"/>
    <x v="0"/>
    <n v="1"/>
    <x v="114"/>
    <n v="0.2"/>
    <n v="2094.4"/>
    <x v="1"/>
    <x v="3"/>
    <x v="0"/>
  </r>
  <r>
    <x v="155"/>
    <x v="86"/>
    <x v="22"/>
    <x v="5"/>
    <x v="13"/>
    <x v="13"/>
    <x v="0"/>
    <n v="1"/>
    <x v="115"/>
    <n v="0.1"/>
    <n v="1380.6000000000001"/>
    <x v="1"/>
    <x v="2"/>
    <x v="0"/>
  </r>
  <r>
    <x v="156"/>
    <x v="87"/>
    <x v="36"/>
    <x v="8"/>
    <x v="10"/>
    <x v="10"/>
    <x v="0"/>
    <n v="1"/>
    <x v="62"/>
    <n v="0.1"/>
    <n v="2219.4"/>
    <x v="1"/>
    <x v="1"/>
    <x v="0"/>
  </r>
  <r>
    <x v="157"/>
    <x v="88"/>
    <x v="10"/>
    <x v="6"/>
    <x v="17"/>
    <x v="17"/>
    <x v="0"/>
    <n v="1"/>
    <x v="77"/>
    <n v="0.2"/>
    <n v="1178.4000000000001"/>
    <x v="0"/>
    <x v="3"/>
    <x v="0"/>
  </r>
  <r>
    <x v="158"/>
    <x v="88"/>
    <x v="10"/>
    <x v="6"/>
    <x v="24"/>
    <x v="24"/>
    <x v="1"/>
    <n v="1"/>
    <x v="47"/>
    <n v="0.1"/>
    <n v="26.1"/>
    <x v="0"/>
    <x v="3"/>
    <x v="0"/>
  </r>
  <r>
    <x v="159"/>
    <x v="88"/>
    <x v="28"/>
    <x v="12"/>
    <x v="26"/>
    <x v="26"/>
    <x v="1"/>
    <n v="2"/>
    <x v="68"/>
    <n v="0.15"/>
    <n v="57.8"/>
    <x v="2"/>
    <x v="1"/>
    <x v="2"/>
  </r>
  <r>
    <x v="160"/>
    <x v="89"/>
    <x v="37"/>
    <x v="4"/>
    <x v="16"/>
    <x v="16"/>
    <x v="0"/>
    <n v="1"/>
    <x v="116"/>
    <n v="0.15"/>
    <n v="2091"/>
    <x v="2"/>
    <x v="2"/>
    <x v="0"/>
  </r>
  <r>
    <x v="161"/>
    <x v="89"/>
    <x v="37"/>
    <x v="4"/>
    <x v="5"/>
    <x v="5"/>
    <x v="1"/>
    <n v="1"/>
    <x v="7"/>
    <n v="0.2"/>
    <n v="47.2"/>
    <x v="2"/>
    <x v="2"/>
    <x v="0"/>
  </r>
  <r>
    <x v="162"/>
    <x v="90"/>
    <x v="11"/>
    <x v="7"/>
    <x v="13"/>
    <x v="13"/>
    <x v="0"/>
    <n v="1"/>
    <x v="117"/>
    <n v="0.15"/>
    <n v="1309"/>
    <x v="2"/>
    <x v="0"/>
    <x v="0"/>
  </r>
  <r>
    <x v="163"/>
    <x v="90"/>
    <x v="17"/>
    <x v="14"/>
    <x v="10"/>
    <x v="10"/>
    <x v="0"/>
    <n v="1"/>
    <x v="118"/>
    <n v="0.15"/>
    <n v="2102.9"/>
    <x v="2"/>
    <x v="3"/>
    <x v="0"/>
  </r>
  <r>
    <x v="164"/>
    <x v="91"/>
    <x v="12"/>
    <x v="7"/>
    <x v="12"/>
    <x v="12"/>
    <x v="0"/>
    <n v="1"/>
    <x v="119"/>
    <n v="0.2"/>
    <n v="2126.4"/>
    <x v="2"/>
    <x v="1"/>
    <x v="0"/>
  </r>
  <r>
    <x v="165"/>
    <x v="91"/>
    <x v="12"/>
    <x v="7"/>
    <x v="8"/>
    <x v="8"/>
    <x v="1"/>
    <n v="1"/>
    <x v="10"/>
    <n v="0.1"/>
    <n v="24.3"/>
    <x v="2"/>
    <x v="1"/>
    <x v="0"/>
  </r>
  <r>
    <x v="166"/>
    <x v="92"/>
    <x v="40"/>
    <x v="0"/>
    <x v="0"/>
    <x v="0"/>
    <x v="0"/>
    <n v="1"/>
    <x v="120"/>
    <n v="0.15"/>
    <n v="2502.4"/>
    <x v="2"/>
    <x v="2"/>
    <x v="2"/>
  </r>
  <r>
    <x v="167"/>
    <x v="92"/>
    <x v="11"/>
    <x v="1"/>
    <x v="13"/>
    <x v="13"/>
    <x v="0"/>
    <n v="1"/>
    <x v="121"/>
    <n v="0.2"/>
    <n v="1281.6000000000001"/>
    <x v="1"/>
    <x v="0"/>
    <x v="0"/>
  </r>
  <r>
    <x v="168"/>
    <x v="92"/>
    <x v="11"/>
    <x v="1"/>
    <x v="4"/>
    <x v="4"/>
    <x v="1"/>
    <n v="1"/>
    <x v="6"/>
    <n v="0.1"/>
    <n v="80.100000000000009"/>
    <x v="1"/>
    <x v="0"/>
    <x v="0"/>
  </r>
  <r>
    <x v="169"/>
    <x v="92"/>
    <x v="11"/>
    <x v="14"/>
    <x v="23"/>
    <x v="23"/>
    <x v="1"/>
    <n v="1"/>
    <x v="34"/>
    <n v="0.15"/>
    <n v="67.149999999999991"/>
    <x v="0"/>
    <x v="3"/>
    <x v="1"/>
  </r>
  <r>
    <x v="170"/>
    <x v="93"/>
    <x v="15"/>
    <x v="2"/>
    <x v="21"/>
    <x v="21"/>
    <x v="1"/>
    <n v="1"/>
    <x v="34"/>
    <n v="0.15"/>
    <n v="67.149999999999991"/>
    <x v="0"/>
    <x v="3"/>
    <x v="1"/>
  </r>
  <r>
    <x v="171"/>
    <x v="94"/>
    <x v="45"/>
    <x v="11"/>
    <x v="19"/>
    <x v="19"/>
    <x v="0"/>
    <n v="1"/>
    <x v="122"/>
    <n v="0.2"/>
    <n v="1834.4"/>
    <x v="0"/>
    <x v="2"/>
    <x v="0"/>
  </r>
  <r>
    <x v="172"/>
    <x v="94"/>
    <x v="45"/>
    <x v="11"/>
    <x v="8"/>
    <x v="8"/>
    <x v="1"/>
    <n v="1"/>
    <x v="10"/>
    <n v="0.1"/>
    <n v="24.3"/>
    <x v="0"/>
    <x v="2"/>
    <x v="0"/>
  </r>
  <r>
    <x v="173"/>
    <x v="95"/>
    <x v="27"/>
    <x v="5"/>
    <x v="3"/>
    <x v="3"/>
    <x v="0"/>
    <n v="1"/>
    <x v="123"/>
    <n v="0.15"/>
    <n v="1428"/>
    <x v="2"/>
    <x v="0"/>
    <x v="0"/>
  </r>
  <r>
    <x v="174"/>
    <x v="95"/>
    <x v="27"/>
    <x v="5"/>
    <x v="15"/>
    <x v="15"/>
    <x v="1"/>
    <n v="1"/>
    <x v="21"/>
    <n v="0.2"/>
    <n v="39.200000000000003"/>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1E240D-5EF7-4E25-A0FD-91AD47F2886B}"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42:B46" firstHeaderRow="1" firstDataRow="1" firstDataCol="1"/>
  <pivotFields count="17">
    <pivotField compact="0" outline="0" showAll="0">
      <items count="176">
        <item x="70"/>
        <item x="57"/>
        <item x="62"/>
        <item x="128"/>
        <item x="80"/>
        <item x="26"/>
        <item x="50"/>
        <item x="125"/>
        <item x="129"/>
        <item x="81"/>
        <item x="41"/>
        <item x="114"/>
        <item x="30"/>
        <item x="102"/>
        <item x="152"/>
        <item x="28"/>
        <item x="109"/>
        <item x="166"/>
        <item x="150"/>
        <item x="94"/>
        <item x="38"/>
        <item x="162"/>
        <item x="90"/>
        <item x="149"/>
        <item x="167"/>
        <item x="4"/>
        <item x="43"/>
        <item x="118"/>
        <item x="86"/>
        <item x="93"/>
        <item x="132"/>
        <item x="160"/>
        <item x="156"/>
        <item x="130"/>
        <item x="105"/>
        <item x="25"/>
        <item x="142"/>
        <item x="101"/>
        <item x="108"/>
        <item x="3"/>
        <item x="134"/>
        <item x="58"/>
        <item x="115"/>
        <item x="163"/>
        <item x="164"/>
        <item x="95"/>
        <item x="110"/>
        <item x="66"/>
        <item x="59"/>
        <item x="121"/>
        <item x="141"/>
        <item x="39"/>
        <item x="136"/>
        <item x="106"/>
        <item x="32"/>
        <item x="52"/>
        <item x="20"/>
        <item x="23"/>
        <item x="64"/>
        <item x="147"/>
        <item x="137"/>
        <item x="21"/>
        <item x="122"/>
        <item x="96"/>
        <item x="54"/>
        <item x="103"/>
        <item x="16"/>
        <item x="2"/>
        <item x="63"/>
        <item x="119"/>
        <item x="171"/>
        <item x="27"/>
        <item x="61"/>
        <item x="76"/>
        <item x="85"/>
        <item x="82"/>
        <item x="77"/>
        <item x="13"/>
        <item x="68"/>
        <item x="148"/>
        <item x="139"/>
        <item x="71"/>
        <item x="65"/>
        <item x="17"/>
        <item x="155"/>
        <item x="72"/>
        <item x="5"/>
        <item x="154"/>
        <item x="111"/>
        <item x="88"/>
        <item x="0"/>
        <item x="46"/>
        <item x="1"/>
        <item x="112"/>
        <item x="124"/>
        <item x="98"/>
        <item x="9"/>
        <item x="18"/>
        <item x="144"/>
        <item x="153"/>
        <item x="51"/>
        <item x="47"/>
        <item x="8"/>
        <item x="146"/>
        <item x="35"/>
        <item x="75"/>
        <item x="74"/>
        <item x="173"/>
        <item x="37"/>
        <item x="11"/>
        <item x="126"/>
        <item x="60"/>
        <item x="24"/>
        <item x="34"/>
        <item x="99"/>
        <item x="14"/>
        <item x="15"/>
        <item x="33"/>
        <item x="157"/>
        <item x="40"/>
        <item x="165"/>
        <item x="67"/>
        <item x="83"/>
        <item x="53"/>
        <item x="44"/>
        <item x="55"/>
        <item x="78"/>
        <item x="42"/>
        <item x="135"/>
        <item x="174"/>
        <item x="151"/>
        <item x="123"/>
        <item x="116"/>
        <item x="143"/>
        <item x="89"/>
        <item x="48"/>
        <item x="12"/>
        <item x="73"/>
        <item x="113"/>
        <item x="36"/>
        <item x="104"/>
        <item x="97"/>
        <item x="161"/>
        <item x="172"/>
        <item x="117"/>
        <item x="31"/>
        <item x="29"/>
        <item x="100"/>
        <item x="79"/>
        <item x="19"/>
        <item x="168"/>
        <item x="69"/>
        <item x="91"/>
        <item x="10"/>
        <item x="22"/>
        <item x="127"/>
        <item x="133"/>
        <item x="107"/>
        <item x="158"/>
        <item x="84"/>
        <item x="131"/>
        <item x="6"/>
        <item x="120"/>
        <item x="87"/>
        <item x="145"/>
        <item x="92"/>
        <item x="138"/>
        <item x="159"/>
        <item x="169"/>
        <item x="170"/>
        <item x="56"/>
        <item x="140"/>
        <item x="7"/>
        <item x="49"/>
        <item x="45"/>
        <item t="default"/>
      </items>
    </pivotField>
    <pivotField compact="0" numFmtId="14" outline="0"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compact="0" outline="0" showAll="0">
      <items count="52">
        <item x="4"/>
        <item x="14"/>
        <item x="26"/>
        <item x="42"/>
        <item x="0"/>
        <item x="49"/>
        <item x="36"/>
        <item x="35"/>
        <item x="24"/>
        <item x="50"/>
        <item x="43"/>
        <item x="28"/>
        <item x="13"/>
        <item x="20"/>
        <item x="40"/>
        <item x="12"/>
        <item x="19"/>
        <item x="33"/>
        <item x="30"/>
        <item x="21"/>
        <item x="3"/>
        <item x="29"/>
        <item x="38"/>
        <item x="9"/>
        <item x="15"/>
        <item x="8"/>
        <item x="47"/>
        <item x="22"/>
        <item x="25"/>
        <item x="2"/>
        <item x="23"/>
        <item x="45"/>
        <item x="34"/>
        <item x="44"/>
        <item x="7"/>
        <item x="18"/>
        <item x="11"/>
        <item x="6"/>
        <item x="17"/>
        <item x="32"/>
        <item x="46"/>
        <item x="5"/>
        <item x="37"/>
        <item x="1"/>
        <item x="27"/>
        <item x="16"/>
        <item x="10"/>
        <item x="39"/>
        <item x="48"/>
        <item x="31"/>
        <item x="41"/>
        <item t="default"/>
      </items>
    </pivotField>
    <pivotField compact="0" outline="0" showAll="0">
      <items count="19">
        <item x="15"/>
        <item x="2"/>
        <item x="7"/>
        <item x="4"/>
        <item x="1"/>
        <item x="14"/>
        <item x="13"/>
        <item x="9"/>
        <item x="10"/>
        <item x="6"/>
        <item x="17"/>
        <item x="12"/>
        <item x="0"/>
        <item x="5"/>
        <item x="11"/>
        <item x="16"/>
        <item x="8"/>
        <item x="3"/>
        <item t="default"/>
      </items>
    </pivotField>
    <pivotField compact="0" outline="0" showAll="0">
      <items count="28">
        <item x="4"/>
        <item x="25"/>
        <item x="9"/>
        <item x="23"/>
        <item x="21"/>
        <item x="24"/>
        <item x="5"/>
        <item x="22"/>
        <item x="26"/>
        <item x="8"/>
        <item x="18"/>
        <item x="15"/>
        <item x="2"/>
        <item x="1"/>
        <item x="6"/>
        <item x="14"/>
        <item x="10"/>
        <item x="7"/>
        <item x="16"/>
        <item x="19"/>
        <item x="11"/>
        <item x="20"/>
        <item x="12"/>
        <item x="0"/>
        <item x="13"/>
        <item x="17"/>
        <item x="3"/>
        <item t="default"/>
      </items>
    </pivotField>
    <pivotField compact="0" outline="0" showAll="0">
      <items count="28">
        <item h="1" x="25"/>
        <item h="1" x="9"/>
        <item h="1" x="22"/>
        <item h="1" x="23"/>
        <item h="1" x="21"/>
        <item h="1" x="13"/>
        <item h="1" x="17"/>
        <item h="1" x="3"/>
        <item h="1" x="5"/>
        <item h="1" x="2"/>
        <item h="1" x="1"/>
        <item h="1" x="6"/>
        <item h="1" x="16"/>
        <item h="1" x="19"/>
        <item h="1" x="11"/>
        <item h="1" x="8"/>
        <item h="1" x="4"/>
        <item h="1" x="26"/>
        <item h="1" x="18"/>
        <item x="24"/>
        <item h="1" x="15"/>
        <item h="1" x="14"/>
        <item h="1" x="10"/>
        <item h="1" x="7"/>
        <item h="1" x="20"/>
        <item h="1" x="12"/>
        <item h="1" x="0"/>
        <item t="default"/>
      </items>
    </pivotField>
    <pivotField compact="0" outline="0" showAll="0">
      <items count="3">
        <item x="1"/>
        <item x="0"/>
        <item t="default"/>
      </items>
    </pivotField>
    <pivotField compact="0" numFmtId="1" outline="0" showAll="0"/>
    <pivotField compact="0" numFmtId="164" outline="0" showAll="0"/>
    <pivotField compact="0" numFmtId="4" outline="0" showAll="0"/>
    <pivotField dataField="1" compact="0" numFmtId="164" outline="0" showAll="0"/>
    <pivotField axis="axisRow" compact="0" outline="0" showAll="0">
      <items count="4">
        <item x="2"/>
        <item x="1"/>
        <item x="0"/>
        <item t="default"/>
      </items>
    </pivotField>
    <pivotField compact="0" outline="0" showAll="0">
      <items count="5">
        <item x="0"/>
        <item x="1"/>
        <item x="3"/>
        <item x="2"/>
        <item t="default"/>
      </items>
    </pivotField>
    <pivotField compact="0" outline="0" showAll="0">
      <items count="4">
        <item x="0"/>
        <item x="2"/>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1"/>
  </rowFields>
  <rowItems count="4">
    <i>
      <x/>
    </i>
    <i>
      <x v="1"/>
    </i>
    <i>
      <x v="2"/>
    </i>
    <i t="grand">
      <x/>
    </i>
  </rowItems>
  <colItems count="1">
    <i/>
  </colItems>
  <dataFields count="1">
    <dataField name="Sum of Total Sale Amount" fld="10" baseField="0" baseItem="0" numFmtId="164"/>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1" count="1" selected="0">
            <x v="0"/>
          </reference>
        </references>
      </pivotArea>
    </chartFormat>
    <chartFormat chart="9" format="2">
      <pivotArea type="data" outline="0" fieldPosition="0">
        <references count="2">
          <reference field="4294967294" count="1" selected="0">
            <x v="0"/>
          </reference>
          <reference field="11" count="1" selected="0">
            <x v="1"/>
          </reference>
        </references>
      </pivotArea>
    </chartFormat>
    <chartFormat chart="9" format="3">
      <pivotArea type="data" outline="0" fieldPosition="0">
        <references count="2">
          <reference field="4294967294" count="1" selected="0">
            <x v="0"/>
          </reference>
          <reference field="11"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1" count="1" selected="0">
            <x v="0"/>
          </reference>
        </references>
      </pivotArea>
    </chartFormat>
    <chartFormat chart="14" format="10">
      <pivotArea type="data" outline="0" fieldPosition="0">
        <references count="2">
          <reference field="4294967294" count="1" selected="0">
            <x v="0"/>
          </reference>
          <reference field="11" count="1" selected="0">
            <x v="1"/>
          </reference>
        </references>
      </pivotArea>
    </chartFormat>
    <chartFormat chart="1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filters count="1">
    <filter fld="1" type="dateBetween" evalOrder="-1" id="24" name="SaleDate">
      <autoFilter ref="A1">
        <filterColumn colId="0">
          <customFilters and="1">
            <customFilter operator="greaterThanOrEqual" val="45931"/>
            <customFilter operator="lessThanOrEqual" val="459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05B91-3F57-459D-88DA-3F4C58F644BC}" name="PivotTable9"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8">
  <location ref="A24:B35" firstHeaderRow="1" firstDataRow="1" firstDataCol="1"/>
  <pivotFields count="17">
    <pivotField compact="0" outline="0" showAll="0">
      <items count="176">
        <item x="70"/>
        <item x="57"/>
        <item x="62"/>
        <item x="128"/>
        <item x="80"/>
        <item x="26"/>
        <item x="50"/>
        <item x="125"/>
        <item x="129"/>
        <item x="81"/>
        <item x="41"/>
        <item x="114"/>
        <item x="30"/>
        <item x="102"/>
        <item x="152"/>
        <item x="28"/>
        <item x="109"/>
        <item x="166"/>
        <item x="150"/>
        <item x="94"/>
        <item x="38"/>
        <item x="162"/>
        <item x="90"/>
        <item x="149"/>
        <item x="167"/>
        <item x="4"/>
        <item x="43"/>
        <item x="118"/>
        <item x="86"/>
        <item x="93"/>
        <item x="132"/>
        <item x="160"/>
        <item x="156"/>
        <item x="130"/>
        <item x="105"/>
        <item x="25"/>
        <item x="142"/>
        <item x="101"/>
        <item x="108"/>
        <item x="3"/>
        <item x="134"/>
        <item x="58"/>
        <item x="115"/>
        <item x="163"/>
        <item x="164"/>
        <item x="95"/>
        <item x="110"/>
        <item x="66"/>
        <item x="59"/>
        <item x="121"/>
        <item x="141"/>
        <item x="39"/>
        <item x="136"/>
        <item x="106"/>
        <item x="32"/>
        <item x="52"/>
        <item x="20"/>
        <item x="23"/>
        <item x="64"/>
        <item x="147"/>
        <item x="137"/>
        <item x="21"/>
        <item x="122"/>
        <item x="96"/>
        <item x="54"/>
        <item x="103"/>
        <item x="16"/>
        <item x="2"/>
        <item x="63"/>
        <item x="119"/>
        <item x="171"/>
        <item x="27"/>
        <item x="61"/>
        <item x="76"/>
        <item x="85"/>
        <item x="82"/>
        <item x="77"/>
        <item x="13"/>
        <item x="68"/>
        <item x="148"/>
        <item x="139"/>
        <item x="71"/>
        <item x="65"/>
        <item x="17"/>
        <item x="155"/>
        <item x="72"/>
        <item x="5"/>
        <item x="154"/>
        <item x="111"/>
        <item x="88"/>
        <item x="0"/>
        <item x="46"/>
        <item x="1"/>
        <item x="112"/>
        <item x="124"/>
        <item x="98"/>
        <item x="9"/>
        <item x="18"/>
        <item x="144"/>
        <item x="153"/>
        <item x="51"/>
        <item x="47"/>
        <item x="8"/>
        <item x="146"/>
        <item x="35"/>
        <item x="75"/>
        <item x="74"/>
        <item x="173"/>
        <item x="37"/>
        <item x="11"/>
        <item x="126"/>
        <item x="60"/>
        <item x="24"/>
        <item x="34"/>
        <item x="99"/>
        <item x="14"/>
        <item x="15"/>
        <item x="33"/>
        <item x="157"/>
        <item x="40"/>
        <item x="165"/>
        <item x="67"/>
        <item x="83"/>
        <item x="53"/>
        <item x="44"/>
        <item x="55"/>
        <item x="78"/>
        <item x="42"/>
        <item x="135"/>
        <item x="174"/>
        <item x="151"/>
        <item x="123"/>
        <item x="116"/>
        <item x="143"/>
        <item x="89"/>
        <item x="48"/>
        <item x="12"/>
        <item x="73"/>
        <item x="113"/>
        <item x="36"/>
        <item x="104"/>
        <item x="97"/>
        <item x="161"/>
        <item x="172"/>
        <item x="117"/>
        <item x="31"/>
        <item x="29"/>
        <item x="100"/>
        <item x="79"/>
        <item x="19"/>
        <item x="168"/>
        <item x="69"/>
        <item x="91"/>
        <item x="10"/>
        <item x="22"/>
        <item x="127"/>
        <item x="133"/>
        <item x="107"/>
        <item x="158"/>
        <item x="84"/>
        <item x="131"/>
        <item x="6"/>
        <item x="120"/>
        <item x="87"/>
        <item x="145"/>
        <item x="92"/>
        <item x="138"/>
        <item x="159"/>
        <item x="169"/>
        <item x="170"/>
        <item x="56"/>
        <item x="140"/>
        <item x="7"/>
        <item x="49"/>
        <item x="45"/>
        <item t="default"/>
      </items>
    </pivotField>
    <pivotField compact="0" numFmtId="14" outline="0"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compact="0" outline="0" showAll="0"/>
    <pivotField compact="0" outline="0" showAll="0" sortType="descending">
      <items count="19">
        <item x="15"/>
        <item x="2"/>
        <item x="7"/>
        <item x="4"/>
        <item x="1"/>
        <item x="14"/>
        <item x="13"/>
        <item x="9"/>
        <item x="10"/>
        <item x="6"/>
        <item x="17"/>
        <item x="12"/>
        <item x="0"/>
        <item x="5"/>
        <item x="11"/>
        <item x="16"/>
        <item x="8"/>
        <item x="3"/>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measureFilter="1" sortType="descending">
      <items count="28">
        <item x="0"/>
        <item x="12"/>
        <item x="20"/>
        <item x="7"/>
        <item x="10"/>
        <item x="14"/>
        <item x="15"/>
        <item x="24"/>
        <item x="18"/>
        <item x="26"/>
        <item x="4"/>
        <item x="8"/>
        <item x="11"/>
        <item x="19"/>
        <item x="16"/>
        <item x="6"/>
        <item x="1"/>
        <item x="2"/>
        <item x="5"/>
        <item x="3"/>
        <item x="17"/>
        <item x="13"/>
        <item x="21"/>
        <item x="23"/>
        <item x="22"/>
        <item x="9"/>
        <item x="25"/>
        <item t="default"/>
      </items>
    </pivotField>
    <pivotField compact="0" outline="0" showAll="0">
      <items count="3">
        <item x="1"/>
        <item x="0"/>
        <item t="default"/>
      </items>
    </pivotField>
    <pivotField compact="0" numFmtId="1" outline="0" showAll="0"/>
    <pivotField compact="0" numFmtId="164" outline="0" showAll="0"/>
    <pivotField compact="0" numFmtId="4" outline="0" showAll="0"/>
    <pivotField dataField="1" compact="0" numFmtId="164"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items count="5">
        <item x="0"/>
        <item x="1"/>
        <item x="3"/>
        <item x="2"/>
        <item t="default"/>
      </items>
    </pivotField>
    <pivotField compact="0" outline="0" showAll="0">
      <items count="4">
        <item x="0"/>
        <item x="2"/>
        <item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5"/>
  </rowFields>
  <rowItems count="11">
    <i>
      <x v="1"/>
    </i>
    <i>
      <x v="2"/>
    </i>
    <i>
      <x v="4"/>
    </i>
    <i>
      <x v="5"/>
    </i>
    <i>
      <x v="12"/>
    </i>
    <i>
      <x v="14"/>
    </i>
    <i>
      <x v="15"/>
    </i>
    <i>
      <x v="16"/>
    </i>
    <i>
      <x v="17"/>
    </i>
    <i>
      <x v="19"/>
    </i>
    <i t="grand">
      <x/>
    </i>
  </rowItems>
  <colItems count="1">
    <i/>
  </colItems>
  <dataFields count="1">
    <dataField name="Sum of Total Sale Amount" fld="10" baseField="0" baseItem="0" numFmtId="164"/>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582" name="Sal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333307-9759-4EB6-89B1-C460ADF6E90E}"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9">
  <location ref="A3:B14" firstHeaderRow="1" firstDataRow="1" firstDataCol="1"/>
  <pivotFields count="17">
    <pivotField compact="0" outline="0" showAll="0"/>
    <pivotField compact="0" numFmtId="14" outline="0"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compact="0" outline="0" showAll="0"/>
    <pivotField axis="axisRow" compact="0" outline="0" showAll="0" measureFilter="1" sortType="ascending">
      <items count="19">
        <item x="15"/>
        <item x="2"/>
        <item x="7"/>
        <item x="4"/>
        <item x="1"/>
        <item x="14"/>
        <item x="13"/>
        <item x="9"/>
        <item x="10"/>
        <item x="6"/>
        <item x="17"/>
        <item x="12"/>
        <item x="0"/>
        <item x="5"/>
        <item x="11"/>
        <item x="16"/>
        <item x="8"/>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28">
        <item x="25"/>
        <item x="9"/>
        <item x="22"/>
        <item x="23"/>
        <item x="21"/>
        <item x="13"/>
        <item x="17"/>
        <item x="3"/>
        <item x="5"/>
        <item x="2"/>
        <item x="1"/>
        <item x="6"/>
        <item x="16"/>
        <item x="19"/>
        <item x="11"/>
        <item x="8"/>
        <item x="4"/>
        <item x="26"/>
        <item x="18"/>
        <item x="24"/>
        <item x="15"/>
        <item x="14"/>
        <item x="10"/>
        <item x="7"/>
        <item x="20"/>
        <item x="12"/>
        <item x="0"/>
        <item t="default"/>
      </items>
    </pivotField>
    <pivotField compact="0" outline="0" showAll="0">
      <items count="3">
        <item x="1"/>
        <item x="0"/>
        <item t="default"/>
      </items>
    </pivotField>
    <pivotField compact="0" numFmtId="1" outline="0" showAll="0"/>
    <pivotField compact="0" numFmtId="164" outline="0" showAll="0">
      <items count="125">
        <item x="49"/>
        <item x="40"/>
        <item x="10"/>
        <item x="47"/>
        <item x="68"/>
        <item x="21"/>
        <item x="7"/>
        <item x="12"/>
        <item x="34"/>
        <item x="6"/>
        <item x="28"/>
        <item x="50"/>
        <item x="77"/>
        <item x="41"/>
        <item x="23"/>
        <item x="115"/>
        <item x="117"/>
        <item x="70"/>
        <item x="80"/>
        <item x="42"/>
        <item x="18"/>
        <item x="93"/>
        <item x="106"/>
        <item x="121"/>
        <item x="66"/>
        <item x="5"/>
        <item x="20"/>
        <item x="54"/>
        <item x="105"/>
        <item x="123"/>
        <item x="88"/>
        <item x="4"/>
        <item x="59"/>
        <item x="90"/>
        <item x="24"/>
        <item x="86"/>
        <item x="102"/>
        <item x="32"/>
        <item x="22"/>
        <item x="75"/>
        <item x="1"/>
        <item x="26"/>
        <item x="109"/>
        <item x="82"/>
        <item x="104"/>
        <item x="122"/>
        <item x="52"/>
        <item x="63"/>
        <item x="112"/>
        <item x="15"/>
        <item x="91"/>
        <item x="108"/>
        <item x="74"/>
        <item x="30"/>
        <item x="43"/>
        <item x="25"/>
        <item x="51"/>
        <item x="8"/>
        <item x="79"/>
        <item x="46"/>
        <item x="27"/>
        <item x="100"/>
        <item x="57"/>
        <item x="3"/>
        <item x="101"/>
        <item x="111"/>
        <item x="113"/>
        <item x="98"/>
        <item x="78"/>
        <item x="39"/>
        <item x="67"/>
        <item x="84"/>
        <item x="116"/>
        <item x="48"/>
        <item x="62"/>
        <item x="118"/>
        <item x="64"/>
        <item x="13"/>
        <item x="110"/>
        <item x="95"/>
        <item x="97"/>
        <item x="99"/>
        <item x="81"/>
        <item x="33"/>
        <item x="72"/>
        <item x="69"/>
        <item x="60"/>
        <item x="87"/>
        <item x="9"/>
        <item x="45"/>
        <item x="92"/>
        <item x="53"/>
        <item x="76"/>
        <item x="38"/>
        <item x="37"/>
        <item x="71"/>
        <item x="19"/>
        <item x="114"/>
        <item x="11"/>
        <item x="14"/>
        <item x="31"/>
        <item x="83"/>
        <item x="35"/>
        <item x="36"/>
        <item x="94"/>
        <item x="119"/>
        <item x="103"/>
        <item x="17"/>
        <item x="96"/>
        <item x="58"/>
        <item x="65"/>
        <item x="44"/>
        <item x="85"/>
        <item x="107"/>
        <item x="55"/>
        <item x="56"/>
        <item x="89"/>
        <item x="73"/>
        <item x="2"/>
        <item x="120"/>
        <item x="16"/>
        <item x="61"/>
        <item x="29"/>
        <item x="0"/>
        <item t="default"/>
      </items>
    </pivotField>
    <pivotField compact="0" numFmtId="4" outline="0" showAll="0"/>
    <pivotField dataField="1" compact="0" numFmtId="164" outline="0" showAll="0"/>
    <pivotField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items count="5">
        <item x="0"/>
        <item x="1"/>
        <item x="3"/>
        <item x="2"/>
        <item t="default"/>
      </items>
    </pivotField>
    <pivotField compact="0" outline="0" showAll="0">
      <items count="4">
        <item h="1" x="0"/>
        <item x="2"/>
        <item h="1"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11">
    <i>
      <x v="10"/>
    </i>
    <i>
      <x v="5"/>
    </i>
    <i>
      <x v="11"/>
    </i>
    <i>
      <x v="4"/>
    </i>
    <i>
      <x/>
    </i>
    <i>
      <x v="6"/>
    </i>
    <i>
      <x v="8"/>
    </i>
    <i>
      <x v="9"/>
    </i>
    <i>
      <x v="12"/>
    </i>
    <i>
      <x v="16"/>
    </i>
    <i t="grand">
      <x/>
    </i>
  </rowItems>
  <colItems count="1">
    <i/>
  </colItems>
  <dataFields count="1">
    <dataField name="Sum of Total Sale Amount" fld="10" baseField="0" baseItem="0" numFmtId="164"/>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483" name="SaleDate">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2376D9-CBDA-443E-B3EA-309EE881B061}" sourceName="Category">
  <pivotTables>
    <pivotTable tabId="17" name="PivotTable9"/>
    <pivotTable tabId="17" name="PivotTable1"/>
    <pivotTable tabId="17" name="PivotTable3"/>
  </pivotTables>
  <data>
    <tabular pivotCacheId="30521817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0E21CD8-F6F3-4F84-A869-5992D22413FE}" sourceName="PaymentMethod">
  <pivotTables>
    <pivotTable tabId="17" name="PivotTable1"/>
    <pivotTable tabId="17" name="PivotTable3"/>
    <pivotTable tabId="17" name="PivotTable9"/>
  </pivotTables>
  <data>
    <tabular pivotCacheId="30521817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05A0E57-9AF3-435F-9593-A936700CF78C}" cache="Slicer_Category" caption="Category" rowHeight="257175"/>
  <slicer name="PaymentMethod 1" xr10:uid="{D947E6C1-2B39-41BC-8172-4A9AE0C6B1C1}" cache="Slicer_PaymentMethod" caption="PaymentMethod"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44DCF72-4DEE-4E79-90B1-0BE79F098ABE}" cache="Slicer_Category" caption="Category" rowHeight="257175"/>
  <slicer name="PaymentMethod" xr10:uid="{A765ECCF-3259-4F14-9B32-F53A4122F5C2}" cache="Slicer_PaymentMethod" caption="PaymentMetho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84F1258-DFBA-4C7D-89B9-2E63364D6BBF}" name="CustomerTbl" displayName="CustomerTbl" ref="A1:I61" totalsRowShown="0" headerRowDxfId="26">
  <autoFilter ref="A1:I61" xr:uid="{984F1258-DFBA-4C7D-89B9-2E63364D6BBF}"/>
  <sortState xmlns:xlrd2="http://schemas.microsoft.com/office/spreadsheetml/2017/richdata2" ref="A2:I61">
    <sortCondition ref="A1:A61"/>
  </sortState>
  <tableColumns count="9">
    <tableColumn id="1" xr3:uid="{E670BE77-1862-4B08-AF7D-F539EA6106E4}" name="CustomerID"/>
    <tableColumn id="2" xr3:uid="{1FB010C9-2305-4DD8-AA26-6166CACF4F8E}" name="FirstName"/>
    <tableColumn id="3" xr3:uid="{0653D379-D5E6-41A7-A171-F41365CE28E6}" name="LastName"/>
    <tableColumn id="4" xr3:uid="{192F24AA-71D7-40C6-A62A-FD967E215EE6}" name="Email"/>
    <tableColumn id="5" xr3:uid="{8F453843-BF04-4AEC-BA21-C0AA207548F7}" name="Phone"/>
    <tableColumn id="6" xr3:uid="{66D1B01C-D44F-4FFB-AA73-446151C9BD61}" name="City"/>
    <tableColumn id="7" xr3:uid="{20A280A6-DC71-4B1A-9594-E0EAC85A03D7}" name="State"/>
    <tableColumn id="8" xr3:uid="{CBFC78E9-58BB-480C-9B5B-67B74CBB29D5}" name="CustomerType"/>
    <tableColumn id="9" xr3:uid="{D31812DA-7040-4F73-A4DC-D581D6A67EE1}" name="JoinDate" dataDxfId="25"/>
  </tableColumns>
  <tableStyleInfo name="TableStyleMedium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F42328-07E9-4D6C-8D54-FE9DAD62CDDE}" name="EmployeeTbl" displayName="EmployeeTbl" ref="A1:H19" totalsRowShown="0">
  <autoFilter ref="A1:H19" xr:uid="{4AF42328-07E9-4D6C-8D54-FE9DAD62CDDE}"/>
  <tableColumns count="8">
    <tableColumn id="1" xr3:uid="{4F79B179-3453-492E-8BAA-CF46430E8987}" name="EmployeeID"/>
    <tableColumn id="2" xr3:uid="{D1A515A3-0ED5-4D5D-ADA7-0B37F44F6CD0}" name="FirstName"/>
    <tableColumn id="3" xr3:uid="{9999E123-CB9F-419E-8FDE-9F49BB579C1B}" name="LastName"/>
    <tableColumn id="4" xr3:uid="{5A5757EF-95DD-4300-8120-F605482EA43F}" name="Department"/>
    <tableColumn id="5" xr3:uid="{74466B6B-3D14-4D2D-A8B9-1E961463596E}" name="JobTitle"/>
    <tableColumn id="6" xr3:uid="{94916EAD-46AC-4A64-96F9-E61FB80F5651}" name="HireDate" dataDxfId="24"/>
    <tableColumn id="7" xr3:uid="{B46FDCED-CC88-446B-860A-7DFE765CD748}" name="EmploymentType"/>
    <tableColumn id="8" xr3:uid="{12F05BC2-D6B0-4C67-B8F8-5E37792149D6}" name="HourlyRate" dataDxfId="23"/>
  </tableColumns>
  <tableStyleInfo name="TableStyleMedium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397E2F-9CCC-4A32-8A57-72DE351B8A05}" name="InventoryTbl" displayName="InventoryTbl" ref="A1:P137" totalsRowShown="0">
  <autoFilter ref="A1:P137" xr:uid="{9F397E2F-9CCC-4A32-8A57-72DE351B8A05}"/>
  <tableColumns count="16">
    <tableColumn id="1" xr3:uid="{064FFDF2-4C14-410B-A554-60E189D60325}" name="SKU"/>
    <tableColumn id="2" xr3:uid="{A25D8B78-BE62-4115-9B13-4D06FFEFC122}" name="ProductName"/>
    <tableColumn id="3" xr3:uid="{95A79232-6708-473C-BDC6-B6B19C3C5BAA}" name="Category"/>
    <tableColumn id="4" xr3:uid="{1D0D5EE8-98BA-40F6-A4DF-D80C9E0C520D}" name="BikeType"/>
    <tableColumn id="5" xr3:uid="{3A9B8EE0-65FE-428C-A532-3D7DC13AC18F}" name="Model"/>
    <tableColumn id="6" xr3:uid="{8204B067-B48D-4798-B194-E5DB3DAE944E}" name="Version"/>
    <tableColumn id="7" xr3:uid="{592CA049-FE86-47AE-AC9B-E5BC021DE880}" name="Size"/>
    <tableColumn id="8" xr3:uid="{F6B07061-C0A9-4ADD-BFD9-5287EBC8BA54}" name="UnitCost" dataDxfId="22"/>
    <tableColumn id="9" xr3:uid="{CB0C5E1A-F7A1-4D61-8BC5-790E1C9FCED2}" name="RetailPrice" dataDxfId="21"/>
    <tableColumn id="10" xr3:uid="{5A7D6A58-D448-4BB4-9C70-CFFE14701999}" name="QuantityOnHand" dataDxfId="20"/>
    <tableColumn id="11" xr3:uid="{93DF8EBA-C958-477E-8ED8-83BBCECC0424}" name="Inventory Value" dataDxfId="19"/>
    <tableColumn id="12" xr3:uid="{D529E96A-D555-4CFF-A1D4-E9FD86712198}" name="ReorderLevel"/>
    <tableColumn id="13" xr3:uid="{E4C103F9-83DB-4200-8094-F37C99DC1F8B}" name="Brand"/>
    <tableColumn id="14" xr3:uid="{097B1FE4-F2A8-418D-8EF2-1A03CDAF45D4}" name="WarehouseLocation"/>
    <tableColumn id="15" xr3:uid="{22A8F71A-5350-45DE-A843-669D8FB29267}" name="Status"/>
    <tableColumn id="18" xr3:uid="{6AF49D08-F006-4F2C-AD99-02DFA82D9879}" name="ReorderFlag" dataDxfId="18">
      <calculatedColumnFormula>IF(J2&lt;=L2,"REORDER","OK")</calculatedColumnFormula>
    </tableColumn>
  </tableColumns>
  <tableStyleInfo name="TableStyleMedium4"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72EA36-1534-4E7C-BDD3-80177146711F}" name="SalesTbl" displayName="SalesTbl" ref="A1:N176" totalsRowShown="0">
  <autoFilter ref="A1:N176" xr:uid="{E072EA36-1534-4E7C-BDD3-80177146711F}"/>
  <tableColumns count="14">
    <tableColumn id="1" xr3:uid="{50797FD5-06EB-43EE-A176-355A8E254805}" name="SaleID" dataDxfId="17"/>
    <tableColumn id="2" xr3:uid="{F93CE5BB-74E9-4C68-B1CF-B49C56554D1F}" name="SaleDate" dataDxfId="16"/>
    <tableColumn id="3" xr3:uid="{C3087CE1-C6B2-41EF-BDA7-0EC00AF37233}" name="CustomerID" dataDxfId="15"/>
    <tableColumn id="4" xr3:uid="{23B9077F-20F8-488E-BF02-D89A84710845}" name="EmployeeID" dataDxfId="14"/>
    <tableColumn id="5" xr3:uid="{D5172B7B-CE53-4F8B-8E81-AF5DD9F1F4E9}" name="SKU" dataDxfId="13"/>
    <tableColumn id="6" xr3:uid="{3FB24764-91D1-4A14-9E88-FD480F4647CE}" name="ProductName"/>
    <tableColumn id="7" xr3:uid="{8D435462-E4D9-41AB-B952-ED68B39B1ECB}" name="Category" dataDxfId="12"/>
    <tableColumn id="8" xr3:uid="{38877285-B6BA-43E6-98C8-95A7A8634BB5}" name="Quantity" dataDxfId="11"/>
    <tableColumn id="9" xr3:uid="{E3D19713-0963-4018-83AD-8D670B5A7ACC}" name="UnitPrice" dataDxfId="10"/>
    <tableColumn id="10" xr3:uid="{18B66C9B-E816-457A-A28D-6591E8349036}" name="Discount" dataDxfId="9"/>
    <tableColumn id="11" xr3:uid="{5B4BF430-CB47-4644-ACB9-C792DA95A912}" name="Total Sale Amount" dataDxfId="8">
      <calculatedColumnFormula>H2 * I2 * (1 - J2)</calculatedColumnFormula>
    </tableColumn>
    <tableColumn id="12" xr3:uid="{990F2E1E-FC01-42FF-B78D-649B6F32F230}" name="SaleChannel"/>
    <tableColumn id="13" xr3:uid="{560FD8CF-1A4F-4D97-80D1-E5401D34C19F}" name="PaymentMethod"/>
    <tableColumn id="14" xr3:uid="{A1B32B34-FBCB-4B07-A9E2-D8B5227D2212}" name="Status"/>
  </tableColumns>
  <tableStyleInfo name="TableStyleMedium4"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7CA63C-6BF0-4FE6-B7BA-9A683389FB70}" name="HardwareTbl" displayName="HardwareTbl" ref="A1:J11" totalsRowShown="0">
  <autoFilter ref="A1:J11" xr:uid="{4F7CA63C-6BF0-4FE6-B7BA-9A683389FB70}"/>
  <tableColumns count="10">
    <tableColumn id="1" xr3:uid="{0EF0BF89-D6C6-476D-BE81-16B3AB8C8AE8}" name="Department / Role"/>
    <tableColumn id="2" xr3:uid="{CE5F97F8-9699-4F8F-AC13-637611C6B00C}" name="Manufacturer"/>
    <tableColumn id="3" xr3:uid="{26E2CF27-3E9B-4624-9E12-F2F38DEB3599}" name="Model"/>
    <tableColumn id="4" xr3:uid="{83405A65-2135-441D-AAF9-88AA064C9CFC}" name="Processor"/>
    <tableColumn id="5" xr3:uid="{FE5F7571-0AA6-4D88-9458-A5DB555E04E6}" name="RAM" dataDxfId="7"/>
    <tableColumn id="6" xr3:uid="{FE452824-4E43-4047-80EF-3B537CA0BBE2}" name="Storage" dataDxfId="6"/>
    <tableColumn id="7" xr3:uid="{E2EB94A3-3F21-4A96-848D-0C5B4376D4C8}" name="Quantity"/>
    <tableColumn id="8" xr3:uid="{786452FD-506A-48E2-8C50-767EAD2D8D45}" name="Unit Price ($)" dataDxfId="5"/>
    <tableColumn id="9" xr3:uid="{9AD4C542-08ED-4C17-8987-D12A0E0F980F}" name="Extended Price ($)" dataDxfId="4"/>
    <tableColumn id="10" xr3:uid="{90D63938-2D12-4AC9-89D0-D0130F9D7E36}" name="Purchase URL" dataCellStyle="Hyperlink"/>
  </tableColumns>
  <tableStyleInfo name="TableStyleMedium4"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A5C8BD-D93E-4816-901F-B753756F46E0}" name="SoftwareTbl" displayName="SoftwareTbl" ref="A1:I6" totalsRowShown="0">
  <autoFilter ref="A1:I6" xr:uid="{41A5C8BD-D93E-4816-901F-B753756F46E0}"/>
  <tableColumns count="9">
    <tableColumn id="1" xr3:uid="{274F9858-83DA-47A9-9E9C-E050E427322E}" name="Category"/>
    <tableColumn id="2" xr3:uid="{79C755E3-98D5-41F7-A0FE-C0AF7A3FC7A0}" name="Vendor"/>
    <tableColumn id="3" xr3:uid="{685744E7-285C-4EA5-9C06-4BBC39EAC1F2}" name="Software Name"/>
    <tableColumn id="4" xr3:uid="{8A0640C8-B3FC-4636-B853-B2AB67A88A59}" name="Licensing Type"/>
    <tableColumn id="5" xr3:uid="{4F72C39D-E311-474E-8C9F-FBC9758C876C}" name="Quantity"/>
    <tableColumn id="6" xr3:uid="{3B500AC4-FB32-4CEC-80D9-BB6273DB0C25}" name="Unit Cost ($)" dataDxfId="3"/>
    <tableColumn id="7" xr3:uid="{93F456D2-72E7-4653-8D76-A2942443CD63}" name="Extended Cost ($)" dataDxfId="2"/>
    <tableColumn id="8" xr3:uid="{94285C25-7DC9-4EF3-B048-DEBC70C87C0B}" name="Cost Type "/>
    <tableColumn id="9" xr3:uid="{D14C4F71-21BB-499E-BE29-01A8D752830B}" name="Purchase URL"/>
  </tableColumns>
  <tableStyleInfo name="TableStyleMedium4"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308812-D7FE-4694-B0D0-2E4A80740FA8}" name="NetworkTbl" displayName="NetworkTbl" ref="A1:H6" totalsRowShown="0" headerRowDxfId="29">
  <autoFilter ref="A1:H6" xr:uid="{B0308812-D7FE-4694-B0D0-2E4A80740FA8}"/>
  <tableColumns count="8">
    <tableColumn id="1" xr3:uid="{2BBFC4ED-4797-4B8C-82CA-1C99E76CEA25}" name="Equipment Category"/>
    <tableColumn id="2" xr3:uid="{44FDBD4D-F8A3-4FFC-A457-68D3CE65F8C6}" name="Manufacturer"/>
    <tableColumn id="3" xr3:uid="{3315092F-BF9B-4C9A-ADCC-209BAECE2182}" name="Model"/>
    <tableColumn id="4" xr3:uid="{E92106F7-DD81-48DD-980A-256E587C7157}" name="Key Specifications"/>
    <tableColumn id="5" xr3:uid="{1B54B9E0-7E9D-434B-A8B5-1DEEF10A5BF8}" name="Quantity"/>
    <tableColumn id="6" xr3:uid="{23FFCE9F-6380-477A-A1B1-C7ACDBA97261}" name="Unit Price ($)" dataDxfId="28"/>
    <tableColumn id="7" xr3:uid="{3381FA87-E872-45AB-9318-2ECB38B9AA6B}" name="Extended Cost ($)" dataDxfId="27"/>
    <tableColumn id="8" xr3:uid="{E23A70B9-9DAE-472A-8809-5A913E2DB11A}" name="Purchase URL"/>
  </tableColumns>
  <tableStyleInfo name="TableStyleMedium4"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6" displayName="Table16" ref="A1:B13" totalsRowShown="0">
  <autoFilter ref="A1:B13" xr:uid="{00000000-0009-0000-0100-000008000000}"/>
  <tableColumns count="2">
    <tableColumn id="1" xr3:uid="{00000000-0010-0000-0700-000001000000}" name="SalesSKU"/>
    <tableColumn id="2" xr3:uid="{00000000-0010-0000-0700-000002000000}" name="InventorySKU"/>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Date" xr10:uid="{91979A57-2696-45EA-AF6E-4325F821A69F}" sourceName="SaleDate">
  <pivotTables>
    <pivotTable tabId="17" name="PivotTable9"/>
    <pivotTable tabId="17" name="PivotTable1"/>
  </pivotTables>
  <state minimalRefreshVersion="6" lastRefreshVersion="6" pivotCacheId="305218177" filterType="dateBetween">
    <selection startDate="2025-12-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Date 1" xr10:uid="{D4CDB7AD-E906-49EC-A279-043F04E53014}" cache="NativeTimeline_SaleDate" caption="SaleDate" level="2" selectionLevel="2" scrollPosition="2025-07-2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Date" xr10:uid="{5B99807B-7F75-41C5-9F98-686B24C78B38}" cache="NativeTimeline_SaleDate" caption="SaleDate" level="2" selectionLevel="2" scrollPosition="2025-07-2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www.apple.com/macbook-air" TargetMode="External"/><Relationship Id="rId7" Type="http://schemas.openxmlformats.org/officeDocument/2006/relationships/hyperlink" Target="https://www.dell.com/en-us/shop/desktop-computers/dell-slim-desktop/spd/dell-ecs1250-slim-desktop" TargetMode="External"/><Relationship Id="rId2" Type="http://schemas.openxmlformats.org/officeDocument/2006/relationships/hyperlink" Target="https://www.apple.com/ipad-11/" TargetMode="External"/><Relationship Id="rId1" Type="http://schemas.openxmlformats.org/officeDocument/2006/relationships/hyperlink" Target="https://www.dell.com/en-us/shop/desktop-computers/dell-tower-desktop/spd/dell-ect1250-desktop?_gl=1*1aurqpw*_up*MQ..&amp;gclid=CjwKCAiAqKbMBhBmEiwAZ3UboM6sVRmDAfFQWMbhUzh54yI97dSQ_iDi5W7FSxs8CrSl31XBap1EEhoCEN4QAvD_BwE&amp;gclsrc=aw.ds&amp;gbraid=0AAAAADllXQff1WSmi6AZH5Hw_w6qrbvU6" TargetMode="External"/><Relationship Id="rId6" Type="http://schemas.openxmlformats.org/officeDocument/2006/relationships/hyperlink" Target="https://www.lenovo.com/us/en/configurator/cto/index.html?bundleId=12YKCTO1WWUS1" TargetMode="External"/><Relationship Id="rId5" Type="http://schemas.openxmlformats.org/officeDocument/2006/relationships/hyperlink" Target="https://www.apple.com/mac-studio/specs/" TargetMode="External"/><Relationship Id="rId4" Type="http://schemas.openxmlformats.org/officeDocument/2006/relationships/hyperlink" Target="https://www.hp.com/us-en/shop/pdp/hp-elite-sff-805-g9-desktop-pc-p-b0qu1ua-aba-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quickbooks.intuit.com/pricing/" TargetMode="External"/><Relationship Id="rId2" Type="http://schemas.openxmlformats.org/officeDocument/2006/relationships/hyperlink" Target="https://www.lightspeedhq.com/pos/retail/pricing/" TargetMode="External"/><Relationship Id="rId1" Type="http://schemas.openxmlformats.org/officeDocument/2006/relationships/hyperlink" Target="https://www.microsoft.com/en-us/microsoft-365/business/microsoft-365-business-standard" TargetMode="External"/><Relationship Id="rId6" Type="http://schemas.openxmlformats.org/officeDocument/2006/relationships/table" Target="../tables/table6.xml"/><Relationship Id="rId5" Type="http://schemas.openxmlformats.org/officeDocument/2006/relationships/hyperlink" Target="https://www.bitdefender.com/en-us/business/smb-products/business-security" TargetMode="External"/><Relationship Id="rId4" Type="http://schemas.openxmlformats.org/officeDocument/2006/relationships/hyperlink" Target="https://www.adobe.com/creativecloud/plans.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store.ui.com/us/en/products/u6-lr" TargetMode="External"/><Relationship Id="rId2" Type="http://schemas.openxmlformats.org/officeDocument/2006/relationships/hyperlink" Target="https://store.ui.com/us/en/products/usw-24-poe" TargetMode="External"/><Relationship Id="rId1" Type="http://schemas.openxmlformats.org/officeDocument/2006/relationships/hyperlink" Target="https://store.ui.com/us/en/products/udm-pro" TargetMode="External"/><Relationship Id="rId6" Type="http://schemas.openxmlformats.org/officeDocument/2006/relationships/table" Target="../tables/table7.xml"/><Relationship Id="rId5" Type="http://schemas.openxmlformats.org/officeDocument/2006/relationships/hyperlink" Target="https://www.monoprice.com/product?p_id=8103&amp;srsltid=AfmBOooqxdZuLdyLZSTPPjmE6RV0jzhxfP42GCm4HNEXXjXl8Gpo1a63" TargetMode="External"/><Relationship Id="rId4" Type="http://schemas.openxmlformats.org/officeDocument/2006/relationships/hyperlink" Target="https://store.ui.com/us/en/products/u6-mesh"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I32"/>
  <sheetViews>
    <sheetView showGridLines="0" tabSelected="1" workbookViewId="0">
      <selection activeCell="S12" sqref="S12"/>
    </sheetView>
  </sheetViews>
  <sheetFormatPr defaultRowHeight="15" x14ac:dyDescent="0.25"/>
  <cols>
    <col min="2" max="2" width="19.5703125" bestFit="1" customWidth="1"/>
    <col min="3" max="3" width="11.28515625" customWidth="1"/>
    <col min="14" max="14" width="19.5703125" bestFit="1" customWidth="1"/>
    <col min="15" max="15" width="11.140625" bestFit="1" customWidth="1"/>
  </cols>
  <sheetData>
    <row r="3" spans="9:9" ht="21" x14ac:dyDescent="0.35">
      <c r="I3" s="13" t="s">
        <v>988</v>
      </c>
    </row>
    <row r="32" spans="2:3" x14ac:dyDescent="0.25">
      <c r="B32" s="12" t="s">
        <v>1003</v>
      </c>
      <c r="C32" s="16">
        <f>_xlfn.XLOOKUP("Total Inventory Value",Dashboard!B32,Inventory!K140)</f>
        <v>202473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zoomScaleNormal="100" workbookViewId="0">
      <selection sqref="A1:I1"/>
    </sheetView>
  </sheetViews>
  <sheetFormatPr defaultRowHeight="15" x14ac:dyDescent="0.25"/>
  <cols>
    <col min="1" max="1" width="14.140625" style="10" customWidth="1"/>
    <col min="2" max="2" width="12.5703125" style="10" bestFit="1" customWidth="1"/>
    <col min="3" max="3" width="12.28515625" style="10" bestFit="1" customWidth="1"/>
    <col min="4" max="4" width="33" bestFit="1" customWidth="1"/>
    <col min="5" max="5" width="12.42578125" bestFit="1" customWidth="1"/>
    <col min="6" max="6" width="14.85546875" bestFit="1" customWidth="1"/>
    <col min="7" max="7" width="8" bestFit="1" customWidth="1"/>
    <col min="8" max="8" width="16.7109375" bestFit="1" customWidth="1"/>
    <col min="9" max="9" width="11.140625" style="1" bestFit="1" customWidth="1"/>
  </cols>
  <sheetData>
    <row r="1" spans="1:9" x14ac:dyDescent="0.25">
      <c r="A1" s="14" t="s">
        <v>667</v>
      </c>
      <c r="B1" s="14" t="s">
        <v>343</v>
      </c>
      <c r="C1" s="14" t="s">
        <v>344</v>
      </c>
      <c r="D1" s="14" t="s">
        <v>345</v>
      </c>
      <c r="E1" s="14" t="s">
        <v>346</v>
      </c>
      <c r="F1" s="14" t="s">
        <v>347</v>
      </c>
      <c r="G1" s="14" t="s">
        <v>348</v>
      </c>
      <c r="H1" s="14" t="s">
        <v>349</v>
      </c>
      <c r="I1" s="15" t="s">
        <v>350</v>
      </c>
    </row>
    <row r="2" spans="1:9" x14ac:dyDescent="0.25">
      <c r="A2" t="s">
        <v>342</v>
      </c>
      <c r="B2" t="s">
        <v>352</v>
      </c>
      <c r="C2" t="s">
        <v>353</v>
      </c>
      <c r="D2" t="s">
        <v>354</v>
      </c>
      <c r="E2" t="s">
        <v>355</v>
      </c>
      <c r="F2" t="s">
        <v>356</v>
      </c>
      <c r="G2" t="s">
        <v>357</v>
      </c>
      <c r="H2" t="s">
        <v>358</v>
      </c>
      <c r="I2" s="1">
        <v>46037</v>
      </c>
    </row>
    <row r="3" spans="1:9" x14ac:dyDescent="0.25">
      <c r="A3" t="s">
        <v>351</v>
      </c>
      <c r="B3" t="s">
        <v>360</v>
      </c>
      <c r="C3" t="s">
        <v>361</v>
      </c>
      <c r="D3" t="s">
        <v>362</v>
      </c>
      <c r="E3" t="s">
        <v>363</v>
      </c>
      <c r="F3" t="s">
        <v>364</v>
      </c>
      <c r="G3" t="s">
        <v>357</v>
      </c>
      <c r="H3" t="s">
        <v>358</v>
      </c>
      <c r="I3" s="1">
        <v>45702</v>
      </c>
    </row>
    <row r="4" spans="1:9" x14ac:dyDescent="0.25">
      <c r="A4" t="s">
        <v>359</v>
      </c>
      <c r="B4" t="s">
        <v>366</v>
      </c>
      <c r="C4" t="s">
        <v>367</v>
      </c>
      <c r="D4" t="s">
        <v>368</v>
      </c>
      <c r="E4" t="s">
        <v>369</v>
      </c>
      <c r="F4" t="s">
        <v>370</v>
      </c>
      <c r="G4" t="s">
        <v>357</v>
      </c>
      <c r="H4" t="s">
        <v>358</v>
      </c>
      <c r="I4" s="1">
        <v>45916</v>
      </c>
    </row>
    <row r="5" spans="1:9" x14ac:dyDescent="0.25">
      <c r="A5" t="s">
        <v>365</v>
      </c>
      <c r="B5" t="s">
        <v>372</v>
      </c>
      <c r="C5" t="s">
        <v>373</v>
      </c>
      <c r="D5" t="s">
        <v>374</v>
      </c>
      <c r="E5" t="s">
        <v>375</v>
      </c>
      <c r="F5" t="s">
        <v>376</v>
      </c>
      <c r="G5" t="s">
        <v>357</v>
      </c>
      <c r="H5" t="s">
        <v>377</v>
      </c>
      <c r="I5" s="1">
        <v>45770</v>
      </c>
    </row>
    <row r="6" spans="1:9" x14ac:dyDescent="0.25">
      <c r="A6" t="s">
        <v>371</v>
      </c>
      <c r="B6" t="s">
        <v>379</v>
      </c>
      <c r="C6" t="s">
        <v>380</v>
      </c>
      <c r="D6" t="s">
        <v>381</v>
      </c>
      <c r="E6" t="s">
        <v>382</v>
      </c>
      <c r="F6" t="s">
        <v>376</v>
      </c>
      <c r="G6" t="s">
        <v>357</v>
      </c>
      <c r="H6" t="s">
        <v>358</v>
      </c>
      <c r="I6" s="1">
        <v>45832</v>
      </c>
    </row>
    <row r="7" spans="1:9" x14ac:dyDescent="0.25">
      <c r="A7" t="s">
        <v>378</v>
      </c>
      <c r="B7" t="s">
        <v>384</v>
      </c>
      <c r="C7" t="s">
        <v>385</v>
      </c>
      <c r="D7" t="s">
        <v>386</v>
      </c>
      <c r="E7" t="s">
        <v>387</v>
      </c>
      <c r="F7" t="s">
        <v>388</v>
      </c>
      <c r="G7" t="s">
        <v>357</v>
      </c>
      <c r="H7" t="s">
        <v>358</v>
      </c>
      <c r="I7" s="1">
        <v>45705</v>
      </c>
    </row>
    <row r="8" spans="1:9" x14ac:dyDescent="0.25">
      <c r="A8" t="s">
        <v>383</v>
      </c>
      <c r="B8" t="s">
        <v>390</v>
      </c>
      <c r="C8" t="s">
        <v>391</v>
      </c>
      <c r="D8" t="s">
        <v>392</v>
      </c>
      <c r="E8" t="s">
        <v>393</v>
      </c>
      <c r="F8" t="s">
        <v>394</v>
      </c>
      <c r="G8" t="s">
        <v>357</v>
      </c>
      <c r="H8" t="s">
        <v>358</v>
      </c>
      <c r="I8" s="1">
        <v>46071</v>
      </c>
    </row>
    <row r="9" spans="1:9" x14ac:dyDescent="0.25">
      <c r="A9" t="s">
        <v>389</v>
      </c>
      <c r="B9" t="s">
        <v>396</v>
      </c>
      <c r="C9" t="s">
        <v>397</v>
      </c>
      <c r="D9" t="s">
        <v>398</v>
      </c>
      <c r="E9" t="s">
        <v>399</v>
      </c>
      <c r="F9" t="s">
        <v>388</v>
      </c>
      <c r="G9" t="s">
        <v>357</v>
      </c>
      <c r="H9" t="s">
        <v>358</v>
      </c>
      <c r="I9" s="1">
        <v>45940</v>
      </c>
    </row>
    <row r="10" spans="1:9" x14ac:dyDescent="0.25">
      <c r="A10" t="s">
        <v>395</v>
      </c>
      <c r="B10" t="s">
        <v>372</v>
      </c>
      <c r="C10" t="s">
        <v>401</v>
      </c>
      <c r="D10" t="s">
        <v>402</v>
      </c>
      <c r="E10" t="s">
        <v>403</v>
      </c>
      <c r="F10" t="s">
        <v>356</v>
      </c>
      <c r="G10" t="s">
        <v>357</v>
      </c>
      <c r="H10" t="s">
        <v>404</v>
      </c>
      <c r="I10" s="1">
        <v>45996</v>
      </c>
    </row>
    <row r="11" spans="1:9" x14ac:dyDescent="0.25">
      <c r="A11" t="s">
        <v>400</v>
      </c>
      <c r="B11" t="s">
        <v>406</v>
      </c>
      <c r="C11" t="s">
        <v>407</v>
      </c>
      <c r="D11" t="s">
        <v>408</v>
      </c>
      <c r="E11" t="s">
        <v>409</v>
      </c>
      <c r="F11" t="s">
        <v>388</v>
      </c>
      <c r="G11" t="s">
        <v>357</v>
      </c>
      <c r="H11" t="s">
        <v>358</v>
      </c>
      <c r="I11" s="1">
        <v>45852</v>
      </c>
    </row>
    <row r="12" spans="1:9" x14ac:dyDescent="0.25">
      <c r="A12" t="s">
        <v>405</v>
      </c>
      <c r="B12" t="s">
        <v>411</v>
      </c>
      <c r="C12" t="s">
        <v>380</v>
      </c>
      <c r="D12" t="s">
        <v>412</v>
      </c>
      <c r="E12" t="s">
        <v>413</v>
      </c>
      <c r="F12" t="s">
        <v>414</v>
      </c>
      <c r="G12" t="s">
        <v>357</v>
      </c>
      <c r="H12" t="s">
        <v>358</v>
      </c>
      <c r="I12" s="1">
        <v>45839</v>
      </c>
    </row>
    <row r="13" spans="1:9" x14ac:dyDescent="0.25">
      <c r="A13" t="s">
        <v>410</v>
      </c>
      <c r="B13" t="s">
        <v>416</v>
      </c>
      <c r="C13" t="s">
        <v>401</v>
      </c>
      <c r="D13" t="s">
        <v>417</v>
      </c>
      <c r="E13" t="s">
        <v>418</v>
      </c>
      <c r="F13" t="s">
        <v>419</v>
      </c>
      <c r="G13" t="s">
        <v>357</v>
      </c>
      <c r="H13" t="s">
        <v>358</v>
      </c>
      <c r="I13" s="1">
        <v>45983</v>
      </c>
    </row>
    <row r="14" spans="1:9" x14ac:dyDescent="0.25">
      <c r="A14" t="s">
        <v>415</v>
      </c>
      <c r="B14" t="s">
        <v>421</v>
      </c>
      <c r="C14" t="s">
        <v>422</v>
      </c>
      <c r="D14" t="s">
        <v>423</v>
      </c>
      <c r="E14" t="s">
        <v>424</v>
      </c>
      <c r="F14" t="s">
        <v>376</v>
      </c>
      <c r="G14" t="s">
        <v>357</v>
      </c>
      <c r="H14" t="s">
        <v>358</v>
      </c>
      <c r="I14" s="1">
        <v>45796</v>
      </c>
    </row>
    <row r="15" spans="1:9" x14ac:dyDescent="0.25">
      <c r="A15" t="s">
        <v>420</v>
      </c>
      <c r="B15" t="s">
        <v>426</v>
      </c>
      <c r="C15" t="s">
        <v>427</v>
      </c>
      <c r="D15" t="s">
        <v>428</v>
      </c>
      <c r="E15" t="s">
        <v>429</v>
      </c>
      <c r="F15" t="s">
        <v>370</v>
      </c>
      <c r="G15" t="s">
        <v>357</v>
      </c>
      <c r="H15" t="s">
        <v>358</v>
      </c>
      <c r="I15" s="1">
        <v>46078</v>
      </c>
    </row>
    <row r="16" spans="1:9" x14ac:dyDescent="0.25">
      <c r="A16" t="s">
        <v>425</v>
      </c>
      <c r="B16" t="s">
        <v>431</v>
      </c>
      <c r="C16" t="s">
        <v>367</v>
      </c>
      <c r="D16" t="s">
        <v>432</v>
      </c>
      <c r="E16" t="s">
        <v>433</v>
      </c>
      <c r="F16" t="s">
        <v>419</v>
      </c>
      <c r="G16" t="s">
        <v>357</v>
      </c>
      <c r="H16" t="s">
        <v>358</v>
      </c>
      <c r="I16" s="1">
        <v>46025</v>
      </c>
    </row>
    <row r="17" spans="1:9" x14ac:dyDescent="0.25">
      <c r="A17" t="s">
        <v>430</v>
      </c>
      <c r="B17" t="s">
        <v>435</v>
      </c>
      <c r="C17" t="s">
        <v>422</v>
      </c>
      <c r="D17" t="s">
        <v>436</v>
      </c>
      <c r="E17" t="s">
        <v>437</v>
      </c>
      <c r="F17" t="s">
        <v>438</v>
      </c>
      <c r="G17" t="s">
        <v>357</v>
      </c>
      <c r="H17" t="s">
        <v>358</v>
      </c>
      <c r="I17" s="1">
        <v>45793</v>
      </c>
    </row>
    <row r="18" spans="1:9" x14ac:dyDescent="0.25">
      <c r="A18" t="s">
        <v>434</v>
      </c>
      <c r="B18" t="s">
        <v>440</v>
      </c>
      <c r="C18" t="s">
        <v>441</v>
      </c>
      <c r="D18" t="s">
        <v>442</v>
      </c>
      <c r="E18" t="s">
        <v>443</v>
      </c>
      <c r="F18" t="s">
        <v>419</v>
      </c>
      <c r="G18" t="s">
        <v>357</v>
      </c>
      <c r="H18" t="s">
        <v>358</v>
      </c>
      <c r="I18" s="1">
        <v>45877</v>
      </c>
    </row>
    <row r="19" spans="1:9" x14ac:dyDescent="0.25">
      <c r="A19" t="s">
        <v>439</v>
      </c>
      <c r="B19" t="s">
        <v>445</v>
      </c>
      <c r="C19" t="s">
        <v>446</v>
      </c>
      <c r="D19" t="s">
        <v>447</v>
      </c>
      <c r="E19" t="s">
        <v>448</v>
      </c>
      <c r="F19" t="s">
        <v>449</v>
      </c>
      <c r="G19" t="s">
        <v>357</v>
      </c>
      <c r="H19" t="s">
        <v>377</v>
      </c>
      <c r="I19" s="1">
        <v>45704</v>
      </c>
    </row>
    <row r="20" spans="1:9" x14ac:dyDescent="0.25">
      <c r="A20" t="s">
        <v>444</v>
      </c>
      <c r="B20" t="s">
        <v>451</v>
      </c>
      <c r="C20" t="s">
        <v>380</v>
      </c>
      <c r="D20" t="s">
        <v>452</v>
      </c>
      <c r="E20" t="s">
        <v>453</v>
      </c>
      <c r="F20" t="s">
        <v>376</v>
      </c>
      <c r="G20" t="s">
        <v>357</v>
      </c>
      <c r="H20" t="s">
        <v>358</v>
      </c>
      <c r="I20" s="1">
        <v>45963</v>
      </c>
    </row>
    <row r="21" spans="1:9" x14ac:dyDescent="0.25">
      <c r="A21" t="s">
        <v>450</v>
      </c>
      <c r="B21" t="s">
        <v>455</v>
      </c>
      <c r="C21" t="s">
        <v>456</v>
      </c>
      <c r="D21" t="s">
        <v>457</v>
      </c>
      <c r="E21" t="s">
        <v>458</v>
      </c>
      <c r="F21" t="s">
        <v>394</v>
      </c>
      <c r="G21" t="s">
        <v>357</v>
      </c>
      <c r="H21" t="s">
        <v>358</v>
      </c>
      <c r="I21" s="1">
        <v>45941</v>
      </c>
    </row>
    <row r="22" spans="1:9" x14ac:dyDescent="0.25">
      <c r="A22" t="s">
        <v>454</v>
      </c>
      <c r="B22" t="s">
        <v>440</v>
      </c>
      <c r="C22" t="s">
        <v>460</v>
      </c>
      <c r="D22" t="s">
        <v>461</v>
      </c>
      <c r="E22" t="s">
        <v>462</v>
      </c>
      <c r="F22" t="s">
        <v>414</v>
      </c>
      <c r="G22" t="s">
        <v>357</v>
      </c>
      <c r="H22" t="s">
        <v>358</v>
      </c>
      <c r="I22" s="1">
        <v>45715</v>
      </c>
    </row>
    <row r="23" spans="1:9" x14ac:dyDescent="0.25">
      <c r="A23" t="s">
        <v>459</v>
      </c>
      <c r="B23" t="s">
        <v>379</v>
      </c>
      <c r="C23" t="s">
        <v>441</v>
      </c>
      <c r="D23" t="s">
        <v>464</v>
      </c>
      <c r="E23" t="s">
        <v>465</v>
      </c>
      <c r="F23" t="s">
        <v>364</v>
      </c>
      <c r="G23" t="s">
        <v>357</v>
      </c>
      <c r="H23" t="s">
        <v>377</v>
      </c>
      <c r="I23" s="1">
        <v>46048</v>
      </c>
    </row>
    <row r="24" spans="1:9" x14ac:dyDescent="0.25">
      <c r="A24" t="s">
        <v>463</v>
      </c>
      <c r="B24" t="s">
        <v>467</v>
      </c>
      <c r="C24" t="s">
        <v>468</v>
      </c>
      <c r="D24" t="s">
        <v>469</v>
      </c>
      <c r="E24" t="s">
        <v>470</v>
      </c>
      <c r="F24" t="s">
        <v>364</v>
      </c>
      <c r="G24" t="s">
        <v>357</v>
      </c>
      <c r="H24" t="s">
        <v>358</v>
      </c>
      <c r="I24" s="1">
        <v>45969</v>
      </c>
    </row>
    <row r="25" spans="1:9" x14ac:dyDescent="0.25">
      <c r="A25" t="s">
        <v>466</v>
      </c>
      <c r="B25" t="s">
        <v>421</v>
      </c>
      <c r="C25" t="s">
        <v>373</v>
      </c>
      <c r="D25" t="s">
        <v>472</v>
      </c>
      <c r="E25" t="s">
        <v>473</v>
      </c>
      <c r="F25" t="s">
        <v>364</v>
      </c>
      <c r="G25" t="s">
        <v>357</v>
      </c>
      <c r="H25" t="s">
        <v>358</v>
      </c>
      <c r="I25" s="1">
        <v>45658</v>
      </c>
    </row>
    <row r="26" spans="1:9" x14ac:dyDescent="0.25">
      <c r="A26" t="s">
        <v>471</v>
      </c>
      <c r="B26" t="s">
        <v>475</v>
      </c>
      <c r="C26" t="s">
        <v>476</v>
      </c>
      <c r="D26" t="s">
        <v>477</v>
      </c>
      <c r="E26" t="s">
        <v>478</v>
      </c>
      <c r="F26" t="s">
        <v>394</v>
      </c>
      <c r="G26" t="s">
        <v>357</v>
      </c>
      <c r="H26" t="s">
        <v>377</v>
      </c>
      <c r="I26" s="1">
        <v>45780</v>
      </c>
    </row>
    <row r="27" spans="1:9" x14ac:dyDescent="0.25">
      <c r="A27" t="s">
        <v>474</v>
      </c>
      <c r="B27" t="s">
        <v>366</v>
      </c>
      <c r="C27" t="s">
        <v>480</v>
      </c>
      <c r="D27" t="s">
        <v>481</v>
      </c>
      <c r="E27" t="s">
        <v>482</v>
      </c>
      <c r="F27" t="s">
        <v>449</v>
      </c>
      <c r="G27" t="s">
        <v>357</v>
      </c>
      <c r="H27" t="s">
        <v>358</v>
      </c>
      <c r="I27" s="1">
        <v>46075</v>
      </c>
    </row>
    <row r="28" spans="1:9" x14ac:dyDescent="0.25">
      <c r="A28" t="s">
        <v>479</v>
      </c>
      <c r="B28" t="s">
        <v>445</v>
      </c>
      <c r="C28" t="s">
        <v>484</v>
      </c>
      <c r="D28" t="s">
        <v>485</v>
      </c>
      <c r="E28" t="s">
        <v>486</v>
      </c>
      <c r="F28" t="s">
        <v>364</v>
      </c>
      <c r="G28" t="s">
        <v>357</v>
      </c>
      <c r="H28" t="s">
        <v>377</v>
      </c>
      <c r="I28" s="1">
        <v>45742</v>
      </c>
    </row>
    <row r="29" spans="1:9" x14ac:dyDescent="0.25">
      <c r="A29" t="s">
        <v>483</v>
      </c>
      <c r="B29" t="s">
        <v>488</v>
      </c>
      <c r="C29" t="s">
        <v>367</v>
      </c>
      <c r="D29" t="s">
        <v>489</v>
      </c>
      <c r="E29" t="s">
        <v>490</v>
      </c>
      <c r="F29" t="s">
        <v>364</v>
      </c>
      <c r="G29" t="s">
        <v>357</v>
      </c>
      <c r="H29" t="s">
        <v>358</v>
      </c>
      <c r="I29" s="1">
        <v>46044</v>
      </c>
    </row>
    <row r="30" spans="1:9" x14ac:dyDescent="0.25">
      <c r="A30" t="s">
        <v>487</v>
      </c>
      <c r="B30" t="s">
        <v>435</v>
      </c>
      <c r="C30" t="s">
        <v>476</v>
      </c>
      <c r="D30" t="s">
        <v>492</v>
      </c>
      <c r="E30" t="s">
        <v>493</v>
      </c>
      <c r="F30" t="s">
        <v>449</v>
      </c>
      <c r="G30" t="s">
        <v>357</v>
      </c>
      <c r="H30" t="s">
        <v>358</v>
      </c>
      <c r="I30" s="1">
        <v>45922</v>
      </c>
    </row>
    <row r="31" spans="1:9" x14ac:dyDescent="0.25">
      <c r="A31" t="s">
        <v>491</v>
      </c>
      <c r="B31" t="s">
        <v>431</v>
      </c>
      <c r="C31" t="s">
        <v>385</v>
      </c>
      <c r="D31" t="s">
        <v>495</v>
      </c>
      <c r="E31" t="s">
        <v>496</v>
      </c>
      <c r="F31" t="s">
        <v>356</v>
      </c>
      <c r="G31" t="s">
        <v>357</v>
      </c>
      <c r="H31" t="s">
        <v>358</v>
      </c>
      <c r="I31" s="1">
        <v>45959</v>
      </c>
    </row>
    <row r="32" spans="1:9" x14ac:dyDescent="0.25">
      <c r="A32" t="s">
        <v>494</v>
      </c>
      <c r="B32" t="s">
        <v>379</v>
      </c>
      <c r="C32" t="s">
        <v>401</v>
      </c>
      <c r="D32" t="s">
        <v>498</v>
      </c>
      <c r="E32" t="s">
        <v>499</v>
      </c>
      <c r="F32" t="s">
        <v>356</v>
      </c>
      <c r="G32" t="s">
        <v>357</v>
      </c>
      <c r="H32" t="s">
        <v>377</v>
      </c>
      <c r="I32" s="1">
        <v>45775</v>
      </c>
    </row>
    <row r="33" spans="1:9" x14ac:dyDescent="0.25">
      <c r="A33" t="s">
        <v>497</v>
      </c>
      <c r="B33" t="s">
        <v>431</v>
      </c>
      <c r="C33" t="s">
        <v>446</v>
      </c>
      <c r="D33" t="s">
        <v>501</v>
      </c>
      <c r="E33" t="s">
        <v>502</v>
      </c>
      <c r="F33" t="s">
        <v>370</v>
      </c>
      <c r="G33" t="s">
        <v>357</v>
      </c>
      <c r="H33" t="s">
        <v>358</v>
      </c>
      <c r="I33" s="1">
        <v>45800</v>
      </c>
    </row>
    <row r="34" spans="1:9" x14ac:dyDescent="0.25">
      <c r="A34" t="s">
        <v>500</v>
      </c>
      <c r="B34" t="s">
        <v>445</v>
      </c>
      <c r="C34" t="s">
        <v>504</v>
      </c>
      <c r="D34" t="s">
        <v>505</v>
      </c>
      <c r="E34" t="s">
        <v>506</v>
      </c>
      <c r="F34" t="s">
        <v>419</v>
      </c>
      <c r="G34" t="s">
        <v>357</v>
      </c>
      <c r="H34" t="s">
        <v>377</v>
      </c>
      <c r="I34" s="1">
        <v>45900</v>
      </c>
    </row>
    <row r="35" spans="1:9" x14ac:dyDescent="0.25">
      <c r="A35" t="s">
        <v>503</v>
      </c>
      <c r="B35" t="s">
        <v>508</v>
      </c>
      <c r="C35" t="s">
        <v>361</v>
      </c>
      <c r="D35" t="s">
        <v>509</v>
      </c>
      <c r="E35" t="s">
        <v>510</v>
      </c>
      <c r="F35" t="s">
        <v>388</v>
      </c>
      <c r="G35" t="s">
        <v>357</v>
      </c>
      <c r="H35" t="s">
        <v>358</v>
      </c>
      <c r="I35" s="1">
        <v>45995</v>
      </c>
    </row>
    <row r="36" spans="1:9" x14ac:dyDescent="0.25">
      <c r="A36" t="s">
        <v>507</v>
      </c>
      <c r="B36" t="s">
        <v>455</v>
      </c>
      <c r="C36" t="s">
        <v>427</v>
      </c>
      <c r="D36" t="s">
        <v>512</v>
      </c>
      <c r="E36" t="s">
        <v>513</v>
      </c>
      <c r="F36" t="s">
        <v>388</v>
      </c>
      <c r="G36" t="s">
        <v>357</v>
      </c>
      <c r="H36" t="s">
        <v>377</v>
      </c>
      <c r="I36" s="1">
        <v>45689</v>
      </c>
    </row>
    <row r="37" spans="1:9" x14ac:dyDescent="0.25">
      <c r="A37" t="s">
        <v>511</v>
      </c>
      <c r="B37" t="s">
        <v>515</v>
      </c>
      <c r="C37" t="s">
        <v>516</v>
      </c>
      <c r="D37" t="s">
        <v>517</v>
      </c>
      <c r="E37" t="s">
        <v>518</v>
      </c>
      <c r="F37" t="s">
        <v>370</v>
      </c>
      <c r="G37" t="s">
        <v>357</v>
      </c>
      <c r="H37" t="s">
        <v>358</v>
      </c>
      <c r="I37" s="1">
        <v>45755</v>
      </c>
    </row>
    <row r="38" spans="1:9" x14ac:dyDescent="0.25">
      <c r="A38" t="s">
        <v>514</v>
      </c>
      <c r="B38" t="s">
        <v>520</v>
      </c>
      <c r="C38" t="s">
        <v>460</v>
      </c>
      <c r="D38" t="s">
        <v>521</v>
      </c>
      <c r="E38" t="s">
        <v>522</v>
      </c>
      <c r="F38" t="s">
        <v>449</v>
      </c>
      <c r="G38" t="s">
        <v>357</v>
      </c>
      <c r="H38" t="s">
        <v>377</v>
      </c>
      <c r="I38" s="1">
        <v>45785</v>
      </c>
    </row>
    <row r="39" spans="1:9" x14ac:dyDescent="0.25">
      <c r="A39" t="s">
        <v>519</v>
      </c>
      <c r="B39" t="s">
        <v>406</v>
      </c>
      <c r="C39" t="s">
        <v>524</v>
      </c>
      <c r="D39" t="s">
        <v>525</v>
      </c>
      <c r="E39" t="s">
        <v>526</v>
      </c>
      <c r="F39" t="s">
        <v>388</v>
      </c>
      <c r="G39" t="s">
        <v>357</v>
      </c>
      <c r="H39" t="s">
        <v>377</v>
      </c>
      <c r="I39" s="1">
        <v>45683</v>
      </c>
    </row>
    <row r="40" spans="1:9" x14ac:dyDescent="0.25">
      <c r="A40" t="s">
        <v>523</v>
      </c>
      <c r="B40" t="s">
        <v>366</v>
      </c>
      <c r="C40" t="s">
        <v>516</v>
      </c>
      <c r="D40" t="s">
        <v>528</v>
      </c>
      <c r="E40" t="s">
        <v>529</v>
      </c>
      <c r="F40" t="s">
        <v>438</v>
      </c>
      <c r="G40" t="s">
        <v>357</v>
      </c>
      <c r="H40" t="s">
        <v>358</v>
      </c>
      <c r="I40" s="1">
        <v>45866</v>
      </c>
    </row>
    <row r="41" spans="1:9" x14ac:dyDescent="0.25">
      <c r="A41" t="s">
        <v>527</v>
      </c>
      <c r="B41" t="s">
        <v>435</v>
      </c>
      <c r="C41" t="s">
        <v>427</v>
      </c>
      <c r="D41" t="s">
        <v>531</v>
      </c>
      <c r="E41" t="s">
        <v>532</v>
      </c>
      <c r="F41" t="s">
        <v>438</v>
      </c>
      <c r="G41" t="s">
        <v>357</v>
      </c>
      <c r="H41" t="s">
        <v>358</v>
      </c>
      <c r="I41" s="1">
        <v>45852</v>
      </c>
    </row>
    <row r="42" spans="1:9" x14ac:dyDescent="0.25">
      <c r="A42" t="s">
        <v>530</v>
      </c>
      <c r="B42" t="s">
        <v>534</v>
      </c>
      <c r="C42" t="s">
        <v>422</v>
      </c>
      <c r="D42" t="s">
        <v>535</v>
      </c>
      <c r="E42" t="s">
        <v>536</v>
      </c>
      <c r="F42" t="s">
        <v>394</v>
      </c>
      <c r="G42" t="s">
        <v>357</v>
      </c>
      <c r="H42" t="s">
        <v>358</v>
      </c>
      <c r="I42" s="1">
        <v>45874</v>
      </c>
    </row>
    <row r="43" spans="1:9" x14ac:dyDescent="0.25">
      <c r="A43" t="s">
        <v>533</v>
      </c>
      <c r="B43" t="s">
        <v>538</v>
      </c>
      <c r="C43" t="s">
        <v>367</v>
      </c>
      <c r="D43" t="s">
        <v>539</v>
      </c>
      <c r="E43" t="s">
        <v>540</v>
      </c>
      <c r="F43" t="s">
        <v>356</v>
      </c>
      <c r="G43" t="s">
        <v>357</v>
      </c>
      <c r="H43" t="s">
        <v>358</v>
      </c>
      <c r="I43" s="1">
        <v>45954</v>
      </c>
    </row>
    <row r="44" spans="1:9" x14ac:dyDescent="0.25">
      <c r="A44" t="s">
        <v>537</v>
      </c>
      <c r="B44" t="s">
        <v>542</v>
      </c>
      <c r="C44" t="s">
        <v>427</v>
      </c>
      <c r="D44" t="s">
        <v>543</v>
      </c>
      <c r="E44" t="s">
        <v>544</v>
      </c>
      <c r="F44" t="s">
        <v>356</v>
      </c>
      <c r="G44" t="s">
        <v>357</v>
      </c>
      <c r="H44" t="s">
        <v>377</v>
      </c>
      <c r="I44" s="1">
        <v>45957</v>
      </c>
    </row>
    <row r="45" spans="1:9" x14ac:dyDescent="0.25">
      <c r="A45" t="s">
        <v>541</v>
      </c>
      <c r="B45" t="s">
        <v>546</v>
      </c>
      <c r="C45" t="s">
        <v>380</v>
      </c>
      <c r="D45" t="s">
        <v>547</v>
      </c>
      <c r="E45" t="s">
        <v>548</v>
      </c>
      <c r="F45" t="s">
        <v>356</v>
      </c>
      <c r="G45" t="s">
        <v>357</v>
      </c>
      <c r="H45" t="s">
        <v>358</v>
      </c>
      <c r="I45" s="1">
        <v>45918</v>
      </c>
    </row>
    <row r="46" spans="1:9" x14ac:dyDescent="0.25">
      <c r="A46" t="s">
        <v>545</v>
      </c>
      <c r="B46" t="s">
        <v>431</v>
      </c>
      <c r="C46" t="s">
        <v>516</v>
      </c>
      <c r="D46" t="s">
        <v>550</v>
      </c>
      <c r="E46" t="s">
        <v>551</v>
      </c>
      <c r="F46" t="s">
        <v>376</v>
      </c>
      <c r="G46" t="s">
        <v>357</v>
      </c>
      <c r="H46" t="s">
        <v>358</v>
      </c>
      <c r="I46" s="1">
        <v>45719</v>
      </c>
    </row>
    <row r="47" spans="1:9" x14ac:dyDescent="0.25">
      <c r="A47" t="s">
        <v>549</v>
      </c>
      <c r="B47" t="s">
        <v>553</v>
      </c>
      <c r="C47" t="s">
        <v>554</v>
      </c>
      <c r="D47" t="s">
        <v>555</v>
      </c>
      <c r="E47" t="s">
        <v>556</v>
      </c>
      <c r="F47" t="s">
        <v>388</v>
      </c>
      <c r="G47" t="s">
        <v>357</v>
      </c>
      <c r="H47" t="s">
        <v>358</v>
      </c>
      <c r="I47" s="1">
        <v>45872</v>
      </c>
    </row>
    <row r="48" spans="1:9" x14ac:dyDescent="0.25">
      <c r="A48" t="s">
        <v>552</v>
      </c>
      <c r="B48" t="s">
        <v>558</v>
      </c>
      <c r="C48" t="s">
        <v>367</v>
      </c>
      <c r="D48" t="s">
        <v>559</v>
      </c>
      <c r="E48" t="s">
        <v>560</v>
      </c>
      <c r="F48" t="s">
        <v>414</v>
      </c>
      <c r="G48" t="s">
        <v>357</v>
      </c>
      <c r="H48" t="s">
        <v>358</v>
      </c>
      <c r="I48" s="1">
        <v>45780</v>
      </c>
    </row>
    <row r="49" spans="1:9" x14ac:dyDescent="0.25">
      <c r="A49" t="s">
        <v>557</v>
      </c>
      <c r="B49" t="s">
        <v>562</v>
      </c>
      <c r="C49" t="s">
        <v>468</v>
      </c>
      <c r="D49" t="s">
        <v>563</v>
      </c>
      <c r="E49" t="s">
        <v>564</v>
      </c>
      <c r="F49" t="s">
        <v>449</v>
      </c>
      <c r="G49" t="s">
        <v>357</v>
      </c>
      <c r="H49" t="s">
        <v>358</v>
      </c>
      <c r="I49" s="1">
        <v>45819</v>
      </c>
    </row>
    <row r="50" spans="1:9" x14ac:dyDescent="0.25">
      <c r="A50" t="s">
        <v>561</v>
      </c>
      <c r="B50" t="s">
        <v>566</v>
      </c>
      <c r="C50" t="s">
        <v>504</v>
      </c>
      <c r="D50" t="s">
        <v>567</v>
      </c>
      <c r="E50" t="s">
        <v>568</v>
      </c>
      <c r="F50" t="s">
        <v>388</v>
      </c>
      <c r="G50" t="s">
        <v>357</v>
      </c>
      <c r="H50" t="s">
        <v>358</v>
      </c>
      <c r="I50" s="1">
        <v>45695</v>
      </c>
    </row>
    <row r="51" spans="1:9" x14ac:dyDescent="0.25">
      <c r="A51" t="s">
        <v>565</v>
      </c>
      <c r="B51" t="s">
        <v>445</v>
      </c>
      <c r="C51" t="s">
        <v>570</v>
      </c>
      <c r="D51" t="s">
        <v>571</v>
      </c>
      <c r="E51" t="s">
        <v>572</v>
      </c>
      <c r="F51" t="s">
        <v>388</v>
      </c>
      <c r="G51" t="s">
        <v>357</v>
      </c>
      <c r="H51" t="s">
        <v>358</v>
      </c>
      <c r="I51" s="1">
        <v>45783</v>
      </c>
    </row>
    <row r="52" spans="1:9" x14ac:dyDescent="0.25">
      <c r="A52" t="s">
        <v>569</v>
      </c>
      <c r="B52" t="s">
        <v>426</v>
      </c>
      <c r="C52" t="s">
        <v>373</v>
      </c>
      <c r="D52" t="s">
        <v>574</v>
      </c>
      <c r="E52" t="s">
        <v>575</v>
      </c>
      <c r="F52" t="s">
        <v>394</v>
      </c>
      <c r="G52" t="s">
        <v>357</v>
      </c>
      <c r="H52" t="s">
        <v>358</v>
      </c>
      <c r="I52" s="1">
        <v>45971</v>
      </c>
    </row>
    <row r="53" spans="1:9" x14ac:dyDescent="0.25">
      <c r="A53" t="s">
        <v>573</v>
      </c>
      <c r="B53" t="s">
        <v>577</v>
      </c>
      <c r="C53" t="s">
        <v>524</v>
      </c>
      <c r="D53" t="s">
        <v>578</v>
      </c>
      <c r="E53" t="s">
        <v>579</v>
      </c>
      <c r="F53" t="s">
        <v>394</v>
      </c>
      <c r="G53" t="s">
        <v>357</v>
      </c>
      <c r="H53" t="s">
        <v>358</v>
      </c>
      <c r="I53" s="1">
        <v>45997</v>
      </c>
    </row>
    <row r="54" spans="1:9" x14ac:dyDescent="0.25">
      <c r="A54" t="s">
        <v>576</v>
      </c>
      <c r="B54" t="s">
        <v>581</v>
      </c>
      <c r="C54" t="s">
        <v>361</v>
      </c>
      <c r="D54" t="s">
        <v>582</v>
      </c>
      <c r="E54" t="s">
        <v>583</v>
      </c>
      <c r="F54" t="s">
        <v>364</v>
      </c>
      <c r="G54" t="s">
        <v>357</v>
      </c>
      <c r="H54" t="s">
        <v>358</v>
      </c>
      <c r="I54" s="1">
        <v>45737</v>
      </c>
    </row>
    <row r="55" spans="1:9" x14ac:dyDescent="0.25">
      <c r="A55" t="s">
        <v>580</v>
      </c>
      <c r="B55" t="s">
        <v>372</v>
      </c>
      <c r="C55" t="s">
        <v>385</v>
      </c>
      <c r="D55" t="s">
        <v>585</v>
      </c>
      <c r="E55" t="s">
        <v>586</v>
      </c>
      <c r="F55" t="s">
        <v>370</v>
      </c>
      <c r="G55" t="s">
        <v>357</v>
      </c>
      <c r="H55" t="s">
        <v>358</v>
      </c>
      <c r="I55" s="1">
        <v>46009</v>
      </c>
    </row>
    <row r="56" spans="1:9" x14ac:dyDescent="0.25">
      <c r="A56" t="s">
        <v>584</v>
      </c>
      <c r="B56" t="s">
        <v>558</v>
      </c>
      <c r="C56" t="s">
        <v>427</v>
      </c>
      <c r="D56" t="s">
        <v>588</v>
      </c>
      <c r="E56" t="s">
        <v>589</v>
      </c>
      <c r="F56" t="s">
        <v>388</v>
      </c>
      <c r="G56" t="s">
        <v>357</v>
      </c>
      <c r="H56" t="s">
        <v>358</v>
      </c>
      <c r="I56" s="1">
        <v>45982</v>
      </c>
    </row>
    <row r="57" spans="1:9" x14ac:dyDescent="0.25">
      <c r="A57" t="s">
        <v>587</v>
      </c>
      <c r="B57" t="s">
        <v>591</v>
      </c>
      <c r="C57" t="s">
        <v>592</v>
      </c>
      <c r="D57" t="s">
        <v>593</v>
      </c>
      <c r="E57" t="s">
        <v>594</v>
      </c>
      <c r="F57" t="s">
        <v>394</v>
      </c>
      <c r="G57" t="s">
        <v>357</v>
      </c>
      <c r="H57" t="s">
        <v>358</v>
      </c>
      <c r="I57" s="1">
        <v>45740</v>
      </c>
    </row>
    <row r="58" spans="1:9" x14ac:dyDescent="0.25">
      <c r="A58" t="s">
        <v>590</v>
      </c>
      <c r="B58" t="s">
        <v>488</v>
      </c>
      <c r="C58" t="s">
        <v>524</v>
      </c>
      <c r="D58" t="s">
        <v>596</v>
      </c>
      <c r="E58" t="s">
        <v>597</v>
      </c>
      <c r="F58" t="s">
        <v>356</v>
      </c>
      <c r="G58" t="s">
        <v>357</v>
      </c>
      <c r="H58" t="s">
        <v>358</v>
      </c>
      <c r="I58" s="1">
        <v>45715</v>
      </c>
    </row>
    <row r="59" spans="1:9" x14ac:dyDescent="0.25">
      <c r="A59" t="s">
        <v>595</v>
      </c>
      <c r="B59" t="s">
        <v>426</v>
      </c>
      <c r="C59" t="s">
        <v>476</v>
      </c>
      <c r="D59" t="s">
        <v>599</v>
      </c>
      <c r="E59" t="s">
        <v>600</v>
      </c>
      <c r="F59" t="s">
        <v>419</v>
      </c>
      <c r="G59" t="s">
        <v>357</v>
      </c>
      <c r="H59" t="s">
        <v>358</v>
      </c>
      <c r="I59" s="1">
        <v>45940</v>
      </c>
    </row>
    <row r="60" spans="1:9" x14ac:dyDescent="0.25">
      <c r="A60" t="s">
        <v>598</v>
      </c>
      <c r="B60" t="s">
        <v>602</v>
      </c>
      <c r="C60" t="s">
        <v>476</v>
      </c>
      <c r="D60" t="s">
        <v>603</v>
      </c>
      <c r="E60" t="s">
        <v>604</v>
      </c>
      <c r="F60" t="s">
        <v>356</v>
      </c>
      <c r="G60" t="s">
        <v>357</v>
      </c>
      <c r="H60" t="s">
        <v>358</v>
      </c>
      <c r="I60" s="1">
        <v>45841</v>
      </c>
    </row>
    <row r="61" spans="1:9" x14ac:dyDescent="0.25">
      <c r="A61" t="s">
        <v>601</v>
      </c>
      <c r="B61" t="s">
        <v>390</v>
      </c>
      <c r="C61" t="s">
        <v>524</v>
      </c>
      <c r="D61" t="s">
        <v>605</v>
      </c>
      <c r="E61" t="s">
        <v>606</v>
      </c>
      <c r="F61" t="s">
        <v>376</v>
      </c>
      <c r="G61" t="s">
        <v>357</v>
      </c>
      <c r="H61" t="s">
        <v>404</v>
      </c>
      <c r="I61" s="1">
        <v>45975</v>
      </c>
    </row>
  </sheetData>
  <conditionalFormatting sqref="D2:D1048576">
    <cfRule type="duplicateValues" dxfId="1"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workbookViewId="0">
      <selection activeCell="J13" sqref="J13"/>
    </sheetView>
  </sheetViews>
  <sheetFormatPr defaultRowHeight="15" x14ac:dyDescent="0.25"/>
  <cols>
    <col min="1" max="1" width="14.28515625" bestFit="1" customWidth="1"/>
    <col min="2" max="2" width="12.5703125" bestFit="1" customWidth="1"/>
    <col min="3" max="3" width="12.28515625" bestFit="1" customWidth="1"/>
    <col min="4" max="4" width="14.28515625" bestFit="1" customWidth="1"/>
    <col min="5" max="5" width="25.140625" bestFit="1" customWidth="1"/>
    <col min="6" max="6" width="11.42578125" style="1" bestFit="1" customWidth="1"/>
    <col min="7" max="7" width="19.140625" bestFit="1" customWidth="1"/>
    <col min="8" max="8" width="13.42578125" style="2" bestFit="1" customWidth="1"/>
  </cols>
  <sheetData>
    <row r="1" spans="1:8" x14ac:dyDescent="0.25">
      <c r="A1" t="s">
        <v>607</v>
      </c>
      <c r="B1" t="s">
        <v>343</v>
      </c>
      <c r="C1" t="s">
        <v>344</v>
      </c>
      <c r="D1" t="s">
        <v>608</v>
      </c>
      <c r="E1" t="s">
        <v>609</v>
      </c>
      <c r="F1" s="1" t="s">
        <v>610</v>
      </c>
      <c r="G1" t="s">
        <v>611</v>
      </c>
      <c r="H1" s="2" t="s">
        <v>612</v>
      </c>
    </row>
    <row r="2" spans="1:8" x14ac:dyDescent="0.25">
      <c r="A2" t="s">
        <v>613</v>
      </c>
      <c r="B2" t="s">
        <v>614</v>
      </c>
      <c r="C2" t="s">
        <v>380</v>
      </c>
      <c r="D2" t="s">
        <v>615</v>
      </c>
      <c r="E2" t="s">
        <v>616</v>
      </c>
      <c r="F2" s="1">
        <v>45289</v>
      </c>
      <c r="G2" t="s">
        <v>617</v>
      </c>
      <c r="H2" s="2">
        <v>31.75</v>
      </c>
    </row>
    <row r="3" spans="1:8" x14ac:dyDescent="0.25">
      <c r="A3" t="s">
        <v>618</v>
      </c>
      <c r="B3" t="s">
        <v>619</v>
      </c>
      <c r="C3" t="s">
        <v>620</v>
      </c>
      <c r="D3" t="s">
        <v>615</v>
      </c>
      <c r="E3" t="s">
        <v>621</v>
      </c>
      <c r="F3" s="1">
        <v>45607</v>
      </c>
      <c r="G3" t="s">
        <v>617</v>
      </c>
      <c r="H3" s="2">
        <v>29.87</v>
      </c>
    </row>
    <row r="4" spans="1:8" x14ac:dyDescent="0.25">
      <c r="A4" t="s">
        <v>622</v>
      </c>
      <c r="B4" t="s">
        <v>623</v>
      </c>
      <c r="C4" t="s">
        <v>516</v>
      </c>
      <c r="D4" t="s">
        <v>615</v>
      </c>
      <c r="E4" t="s">
        <v>621</v>
      </c>
      <c r="F4" s="1">
        <v>45473</v>
      </c>
      <c r="G4" t="s">
        <v>617</v>
      </c>
      <c r="H4" s="2">
        <v>18.02</v>
      </c>
    </row>
    <row r="5" spans="1:8" x14ac:dyDescent="0.25">
      <c r="A5" t="s">
        <v>624</v>
      </c>
      <c r="B5" t="s">
        <v>625</v>
      </c>
      <c r="C5" t="s">
        <v>361</v>
      </c>
      <c r="D5" t="s">
        <v>615</v>
      </c>
      <c r="E5" t="s">
        <v>621</v>
      </c>
      <c r="F5" s="1">
        <v>45710</v>
      </c>
      <c r="G5" t="s">
        <v>617</v>
      </c>
      <c r="H5" s="2">
        <v>31.57</v>
      </c>
    </row>
    <row r="6" spans="1:8" x14ac:dyDescent="0.25">
      <c r="A6" t="s">
        <v>626</v>
      </c>
      <c r="B6" t="s">
        <v>406</v>
      </c>
      <c r="C6" t="s">
        <v>484</v>
      </c>
      <c r="D6" t="s">
        <v>404</v>
      </c>
      <c r="E6" t="s">
        <v>627</v>
      </c>
      <c r="F6" s="1">
        <v>45382</v>
      </c>
      <c r="G6" t="s">
        <v>617</v>
      </c>
      <c r="H6" s="2">
        <v>18.79</v>
      </c>
    </row>
    <row r="7" spans="1:8" x14ac:dyDescent="0.25">
      <c r="A7" t="s">
        <v>628</v>
      </c>
      <c r="B7" t="s">
        <v>629</v>
      </c>
      <c r="C7" t="s">
        <v>422</v>
      </c>
      <c r="D7" t="s">
        <v>404</v>
      </c>
      <c r="E7" t="s">
        <v>627</v>
      </c>
      <c r="F7" s="1">
        <v>45643</v>
      </c>
      <c r="G7" t="s">
        <v>617</v>
      </c>
      <c r="H7" s="2">
        <v>20.8</v>
      </c>
    </row>
    <row r="8" spans="1:8" x14ac:dyDescent="0.25">
      <c r="A8" t="s">
        <v>630</v>
      </c>
      <c r="B8" t="s">
        <v>534</v>
      </c>
      <c r="C8" t="s">
        <v>407</v>
      </c>
      <c r="D8" t="s">
        <v>404</v>
      </c>
      <c r="E8" t="s">
        <v>631</v>
      </c>
      <c r="F8" s="1">
        <v>45383</v>
      </c>
      <c r="G8" t="s">
        <v>617</v>
      </c>
      <c r="H8" s="2">
        <v>15.45</v>
      </c>
    </row>
    <row r="9" spans="1:8" x14ac:dyDescent="0.25">
      <c r="A9" t="s">
        <v>632</v>
      </c>
      <c r="B9" t="s">
        <v>508</v>
      </c>
      <c r="C9" t="s">
        <v>633</v>
      </c>
      <c r="D9" t="s">
        <v>634</v>
      </c>
      <c r="E9" t="s">
        <v>635</v>
      </c>
      <c r="F9" s="1">
        <v>45599</v>
      </c>
      <c r="G9" t="s">
        <v>617</v>
      </c>
      <c r="H9" s="2">
        <v>20.29</v>
      </c>
    </row>
    <row r="10" spans="1:8" x14ac:dyDescent="0.25">
      <c r="A10" t="s">
        <v>636</v>
      </c>
      <c r="B10" t="s">
        <v>431</v>
      </c>
      <c r="C10" t="s">
        <v>460</v>
      </c>
      <c r="D10" t="s">
        <v>634</v>
      </c>
      <c r="E10" t="s">
        <v>637</v>
      </c>
      <c r="F10" s="1">
        <v>45646</v>
      </c>
      <c r="G10" t="s">
        <v>617</v>
      </c>
      <c r="H10" s="2">
        <v>27.19</v>
      </c>
    </row>
    <row r="11" spans="1:8" x14ac:dyDescent="0.25">
      <c r="A11" t="s">
        <v>638</v>
      </c>
      <c r="B11" t="s">
        <v>435</v>
      </c>
      <c r="C11" t="s">
        <v>373</v>
      </c>
      <c r="D11" t="s">
        <v>639</v>
      </c>
      <c r="E11" t="s">
        <v>640</v>
      </c>
      <c r="F11" s="1">
        <v>45605</v>
      </c>
      <c r="G11" t="s">
        <v>617</v>
      </c>
      <c r="H11" s="2">
        <v>32.85</v>
      </c>
    </row>
    <row r="12" spans="1:8" x14ac:dyDescent="0.25">
      <c r="A12" t="s">
        <v>641</v>
      </c>
      <c r="B12" t="s">
        <v>475</v>
      </c>
      <c r="C12" t="s">
        <v>441</v>
      </c>
      <c r="D12" t="s">
        <v>639</v>
      </c>
      <c r="E12" t="s">
        <v>642</v>
      </c>
      <c r="F12" s="1">
        <v>45292</v>
      </c>
      <c r="G12" t="s">
        <v>617</v>
      </c>
      <c r="H12" s="2">
        <v>26.03</v>
      </c>
    </row>
    <row r="13" spans="1:8" x14ac:dyDescent="0.25">
      <c r="A13" t="s">
        <v>643</v>
      </c>
      <c r="B13" t="s">
        <v>558</v>
      </c>
      <c r="C13" t="s">
        <v>644</v>
      </c>
      <c r="D13" t="s">
        <v>645</v>
      </c>
      <c r="E13" t="s">
        <v>646</v>
      </c>
      <c r="F13" s="1">
        <v>45149</v>
      </c>
      <c r="G13" t="s">
        <v>617</v>
      </c>
      <c r="H13" s="2">
        <v>26.33</v>
      </c>
    </row>
    <row r="14" spans="1:8" x14ac:dyDescent="0.25">
      <c r="A14" t="s">
        <v>647</v>
      </c>
      <c r="B14" t="s">
        <v>390</v>
      </c>
      <c r="C14" t="s">
        <v>648</v>
      </c>
      <c r="D14" t="s">
        <v>645</v>
      </c>
      <c r="E14" t="s">
        <v>646</v>
      </c>
      <c r="F14" s="1">
        <v>45820</v>
      </c>
      <c r="G14" t="s">
        <v>617</v>
      </c>
      <c r="H14" s="2">
        <v>26.52</v>
      </c>
    </row>
    <row r="15" spans="1:8" x14ac:dyDescent="0.25">
      <c r="A15" t="s">
        <v>649</v>
      </c>
      <c r="B15" t="s">
        <v>650</v>
      </c>
      <c r="C15" t="s">
        <v>353</v>
      </c>
      <c r="D15" t="s">
        <v>651</v>
      </c>
      <c r="E15" t="s">
        <v>652</v>
      </c>
      <c r="F15" s="1">
        <v>45715</v>
      </c>
      <c r="G15" t="s">
        <v>617</v>
      </c>
      <c r="H15" s="2">
        <v>32.090000000000003</v>
      </c>
    </row>
    <row r="16" spans="1:8" x14ac:dyDescent="0.25">
      <c r="A16" t="s">
        <v>653</v>
      </c>
      <c r="B16" t="s">
        <v>508</v>
      </c>
      <c r="C16" t="s">
        <v>441</v>
      </c>
      <c r="D16" t="s">
        <v>651</v>
      </c>
      <c r="E16" t="s">
        <v>654</v>
      </c>
      <c r="F16" s="1">
        <v>45017</v>
      </c>
      <c r="G16" t="s">
        <v>617</v>
      </c>
      <c r="H16" s="2">
        <v>28.47</v>
      </c>
    </row>
    <row r="17" spans="1:8" x14ac:dyDescent="0.25">
      <c r="A17" t="s">
        <v>655</v>
      </c>
      <c r="B17" t="s">
        <v>379</v>
      </c>
      <c r="C17" t="s">
        <v>456</v>
      </c>
      <c r="D17" t="s">
        <v>615</v>
      </c>
      <c r="E17" t="s">
        <v>656</v>
      </c>
      <c r="F17" s="1">
        <v>46029</v>
      </c>
      <c r="G17" t="s">
        <v>657</v>
      </c>
      <c r="H17" s="2">
        <v>28.05</v>
      </c>
    </row>
    <row r="18" spans="1:8" x14ac:dyDescent="0.25">
      <c r="A18" t="s">
        <v>658</v>
      </c>
      <c r="B18" t="s">
        <v>360</v>
      </c>
      <c r="C18" t="s">
        <v>659</v>
      </c>
      <c r="D18" t="s">
        <v>404</v>
      </c>
      <c r="E18" t="s">
        <v>660</v>
      </c>
      <c r="F18" s="1">
        <v>45672</v>
      </c>
      <c r="G18" t="s">
        <v>657</v>
      </c>
      <c r="H18" s="2">
        <v>23.19</v>
      </c>
    </row>
    <row r="19" spans="1:8" x14ac:dyDescent="0.25">
      <c r="A19" t="s">
        <v>661</v>
      </c>
      <c r="B19" t="s">
        <v>662</v>
      </c>
      <c r="C19" t="s">
        <v>385</v>
      </c>
      <c r="D19" t="s">
        <v>663</v>
      </c>
      <c r="E19" t="s">
        <v>664</v>
      </c>
      <c r="F19" s="1">
        <v>45569</v>
      </c>
      <c r="G19" t="s">
        <v>617</v>
      </c>
      <c r="H19" s="2">
        <v>48.27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0"/>
  <sheetViews>
    <sheetView topLeftCell="A124" workbookViewId="0">
      <selection activeCell="K140" sqref="K140"/>
    </sheetView>
  </sheetViews>
  <sheetFormatPr defaultRowHeight="15" x14ac:dyDescent="0.25"/>
  <cols>
    <col min="1" max="1" width="18.42578125" bestFit="1" customWidth="1"/>
    <col min="2" max="2" width="26.28515625" bestFit="1" customWidth="1"/>
    <col min="3" max="4" width="15.5703125" bestFit="1" customWidth="1"/>
    <col min="5" max="5" width="10.140625" bestFit="1" customWidth="1"/>
    <col min="6" max="6" width="9.85546875" customWidth="1"/>
    <col min="7" max="7" width="11.28515625" style="2" bestFit="1" customWidth="1"/>
    <col min="8" max="8" width="13.140625" style="2" bestFit="1" customWidth="1"/>
    <col min="9" max="9" width="13.140625" bestFit="1" customWidth="1"/>
    <col min="10" max="10" width="18.42578125" style="3" customWidth="1"/>
    <col min="11" max="11" width="17.42578125" bestFit="1" customWidth="1"/>
    <col min="12" max="12" width="15.5703125" bestFit="1" customWidth="1"/>
    <col min="13" max="14" width="21.5703125" bestFit="1" customWidth="1"/>
    <col min="15" max="15" width="9" bestFit="1" customWidth="1"/>
    <col min="16" max="16" width="14.140625" bestFit="1" customWidth="1"/>
  </cols>
  <sheetData>
    <row r="1" spans="1:16" x14ac:dyDescent="0.25">
      <c r="A1" t="s">
        <v>0</v>
      </c>
      <c r="B1" t="s">
        <v>1</v>
      </c>
      <c r="C1" t="s">
        <v>2</v>
      </c>
      <c r="D1" t="s">
        <v>3</v>
      </c>
      <c r="E1" t="s">
        <v>4</v>
      </c>
      <c r="F1" t="s">
        <v>5</v>
      </c>
      <c r="G1" t="s">
        <v>6</v>
      </c>
      <c r="H1" s="2" t="s">
        <v>7</v>
      </c>
      <c r="I1" s="2" t="s">
        <v>8</v>
      </c>
      <c r="J1" s="3" t="s">
        <v>9</v>
      </c>
      <c r="K1" t="s">
        <v>10</v>
      </c>
      <c r="L1" t="s">
        <v>11</v>
      </c>
      <c r="M1" t="s">
        <v>12</v>
      </c>
      <c r="N1" t="s">
        <v>13</v>
      </c>
      <c r="O1" t="s">
        <v>14</v>
      </c>
      <c r="P1" t="s">
        <v>968</v>
      </c>
    </row>
    <row r="2" spans="1:16" x14ac:dyDescent="0.25">
      <c r="A2" t="s">
        <v>15</v>
      </c>
      <c r="B2" t="s">
        <v>16</v>
      </c>
      <c r="C2" t="s">
        <v>17</v>
      </c>
      <c r="D2" t="s">
        <v>18</v>
      </c>
      <c r="E2" t="s">
        <v>19</v>
      </c>
      <c r="F2" t="s">
        <v>20</v>
      </c>
      <c r="G2" t="s">
        <v>21</v>
      </c>
      <c r="H2" s="2">
        <v>1257</v>
      </c>
      <c r="I2" s="2">
        <v>2403</v>
      </c>
      <c r="J2" s="3">
        <v>8</v>
      </c>
      <c r="K2" s="2">
        <f t="shared" ref="K2:K33" si="0">H2 * J2</f>
        <v>10056</v>
      </c>
      <c r="L2">
        <v>3</v>
      </c>
      <c r="M2" t="s">
        <v>22</v>
      </c>
      <c r="N2" t="s">
        <v>23</v>
      </c>
      <c r="O2" t="s">
        <v>24</v>
      </c>
      <c r="P2" t="str">
        <f t="shared" ref="P2:P33" si="1">IF(J2&lt;=L2,"REORDER","OK")</f>
        <v>OK</v>
      </c>
    </row>
    <row r="3" spans="1:16" x14ac:dyDescent="0.25">
      <c r="A3" t="s">
        <v>25</v>
      </c>
      <c r="B3" t="s">
        <v>26</v>
      </c>
      <c r="C3" t="s">
        <v>17</v>
      </c>
      <c r="D3" t="s">
        <v>18</v>
      </c>
      <c r="E3" t="s">
        <v>19</v>
      </c>
      <c r="F3" t="s">
        <v>20</v>
      </c>
      <c r="G3" t="s">
        <v>27</v>
      </c>
      <c r="H3" s="2">
        <v>1228</v>
      </c>
      <c r="I3" s="2">
        <v>2373</v>
      </c>
      <c r="J3" s="3">
        <v>10</v>
      </c>
      <c r="K3" s="2">
        <f t="shared" si="0"/>
        <v>12280</v>
      </c>
      <c r="L3">
        <v>3</v>
      </c>
      <c r="M3" t="s">
        <v>22</v>
      </c>
      <c r="N3" t="s">
        <v>28</v>
      </c>
      <c r="O3" t="s">
        <v>24</v>
      </c>
      <c r="P3" t="str">
        <f t="shared" si="1"/>
        <v>OK</v>
      </c>
    </row>
    <row r="4" spans="1:16" x14ac:dyDescent="0.25">
      <c r="A4" t="s">
        <v>29</v>
      </c>
      <c r="B4" t="s">
        <v>30</v>
      </c>
      <c r="C4" t="s">
        <v>17</v>
      </c>
      <c r="D4" t="s">
        <v>18</v>
      </c>
      <c r="E4" t="s">
        <v>19</v>
      </c>
      <c r="F4" t="s">
        <v>20</v>
      </c>
      <c r="G4" t="s">
        <v>31</v>
      </c>
      <c r="H4" s="2">
        <v>1199</v>
      </c>
      <c r="I4" s="2">
        <v>2087</v>
      </c>
      <c r="J4" s="3">
        <v>6</v>
      </c>
      <c r="K4" s="2">
        <f t="shared" si="0"/>
        <v>7194</v>
      </c>
      <c r="L4">
        <v>2</v>
      </c>
      <c r="M4" t="s">
        <v>22</v>
      </c>
      <c r="N4" t="s">
        <v>32</v>
      </c>
      <c r="O4" t="s">
        <v>24</v>
      </c>
      <c r="P4" t="str">
        <f t="shared" si="1"/>
        <v>OK</v>
      </c>
    </row>
    <row r="5" spans="1:16" x14ac:dyDescent="0.25">
      <c r="A5" t="s">
        <v>33</v>
      </c>
      <c r="B5" t="s">
        <v>34</v>
      </c>
      <c r="C5" t="s">
        <v>17</v>
      </c>
      <c r="D5" t="s">
        <v>18</v>
      </c>
      <c r="E5" t="s">
        <v>19</v>
      </c>
      <c r="F5" t="s">
        <v>35</v>
      </c>
      <c r="G5" t="s">
        <v>21</v>
      </c>
      <c r="H5" s="2">
        <v>1226</v>
      </c>
      <c r="I5" s="2">
        <v>2563</v>
      </c>
      <c r="J5" s="3">
        <v>7</v>
      </c>
      <c r="K5" s="2">
        <f t="shared" si="0"/>
        <v>8582</v>
      </c>
      <c r="L5">
        <v>2</v>
      </c>
      <c r="M5" t="s">
        <v>22</v>
      </c>
      <c r="N5" t="s">
        <v>28</v>
      </c>
      <c r="O5" t="s">
        <v>24</v>
      </c>
      <c r="P5" t="str">
        <f t="shared" si="1"/>
        <v>OK</v>
      </c>
    </row>
    <row r="6" spans="1:16" x14ac:dyDescent="0.25">
      <c r="A6" t="s">
        <v>36</v>
      </c>
      <c r="B6" t="s">
        <v>37</v>
      </c>
      <c r="C6" t="s">
        <v>17</v>
      </c>
      <c r="D6" t="s">
        <v>18</v>
      </c>
      <c r="E6" t="s">
        <v>19</v>
      </c>
      <c r="F6" t="s">
        <v>35</v>
      </c>
      <c r="G6" t="s">
        <v>27</v>
      </c>
      <c r="H6" s="2">
        <v>1294</v>
      </c>
      <c r="I6" s="2">
        <v>2595</v>
      </c>
      <c r="J6" s="3">
        <v>9</v>
      </c>
      <c r="K6" s="2">
        <f t="shared" si="0"/>
        <v>11646</v>
      </c>
      <c r="L6">
        <v>3</v>
      </c>
      <c r="M6" t="s">
        <v>22</v>
      </c>
      <c r="N6" t="s">
        <v>32</v>
      </c>
      <c r="O6" t="s">
        <v>24</v>
      </c>
      <c r="P6" t="str">
        <f t="shared" si="1"/>
        <v>OK</v>
      </c>
    </row>
    <row r="7" spans="1:16" x14ac:dyDescent="0.25">
      <c r="A7" t="s">
        <v>38</v>
      </c>
      <c r="B7" t="s">
        <v>39</v>
      </c>
      <c r="C7" t="s">
        <v>17</v>
      </c>
      <c r="D7" t="s">
        <v>18</v>
      </c>
      <c r="E7" t="s">
        <v>19</v>
      </c>
      <c r="F7" t="s">
        <v>35</v>
      </c>
      <c r="G7" t="s">
        <v>31</v>
      </c>
      <c r="H7" s="2">
        <v>1203</v>
      </c>
      <c r="I7" s="2">
        <v>2569</v>
      </c>
      <c r="J7" s="3">
        <v>5</v>
      </c>
      <c r="K7" s="2">
        <f t="shared" si="0"/>
        <v>6015</v>
      </c>
      <c r="L7">
        <v>2</v>
      </c>
      <c r="M7" t="s">
        <v>22</v>
      </c>
      <c r="N7" t="s">
        <v>40</v>
      </c>
      <c r="O7" t="s">
        <v>24</v>
      </c>
      <c r="P7" t="str">
        <f t="shared" si="1"/>
        <v>OK</v>
      </c>
    </row>
    <row r="8" spans="1:16" x14ac:dyDescent="0.25">
      <c r="A8" t="s">
        <v>41</v>
      </c>
      <c r="B8" t="s">
        <v>42</v>
      </c>
      <c r="C8" t="s">
        <v>17</v>
      </c>
      <c r="D8" t="s">
        <v>43</v>
      </c>
      <c r="E8" t="s">
        <v>44</v>
      </c>
      <c r="F8" t="s">
        <v>20</v>
      </c>
      <c r="G8" t="s">
        <v>21</v>
      </c>
      <c r="H8" s="2">
        <v>1596</v>
      </c>
      <c r="I8" s="2">
        <v>2419</v>
      </c>
      <c r="J8" s="3">
        <v>6</v>
      </c>
      <c r="K8" s="2">
        <f t="shared" si="0"/>
        <v>9576</v>
      </c>
      <c r="L8">
        <v>2</v>
      </c>
      <c r="M8" t="s">
        <v>22</v>
      </c>
      <c r="N8" t="s">
        <v>45</v>
      </c>
      <c r="O8" t="s">
        <v>24</v>
      </c>
      <c r="P8" t="str">
        <f t="shared" si="1"/>
        <v>OK</v>
      </c>
    </row>
    <row r="9" spans="1:16" x14ac:dyDescent="0.25">
      <c r="A9" t="s">
        <v>46</v>
      </c>
      <c r="B9" t="s">
        <v>47</v>
      </c>
      <c r="C9" t="s">
        <v>17</v>
      </c>
      <c r="D9" t="s">
        <v>43</v>
      </c>
      <c r="E9" t="s">
        <v>44</v>
      </c>
      <c r="F9" t="s">
        <v>20</v>
      </c>
      <c r="G9" t="s">
        <v>27</v>
      </c>
      <c r="H9" s="2">
        <v>1412</v>
      </c>
      <c r="I9" s="2">
        <v>2404</v>
      </c>
      <c r="J9" s="3">
        <v>8</v>
      </c>
      <c r="K9" s="2">
        <f t="shared" si="0"/>
        <v>11296</v>
      </c>
      <c r="L9">
        <v>3</v>
      </c>
      <c r="M9" t="s">
        <v>22</v>
      </c>
      <c r="N9" t="s">
        <v>48</v>
      </c>
      <c r="O9" t="s">
        <v>24</v>
      </c>
      <c r="P9" t="str">
        <f t="shared" si="1"/>
        <v>OK</v>
      </c>
    </row>
    <row r="10" spans="1:16" x14ac:dyDescent="0.25">
      <c r="A10" t="s">
        <v>49</v>
      </c>
      <c r="B10" t="s">
        <v>50</v>
      </c>
      <c r="C10" t="s">
        <v>17</v>
      </c>
      <c r="D10" t="s">
        <v>43</v>
      </c>
      <c r="E10" t="s">
        <v>44</v>
      </c>
      <c r="F10" t="s">
        <v>20</v>
      </c>
      <c r="G10" t="s">
        <v>31</v>
      </c>
      <c r="H10" s="2">
        <v>1600</v>
      </c>
      <c r="I10" s="2">
        <v>2363</v>
      </c>
      <c r="J10" s="3">
        <v>4</v>
      </c>
      <c r="K10" s="2">
        <f t="shared" si="0"/>
        <v>6400</v>
      </c>
      <c r="L10">
        <v>2</v>
      </c>
      <c r="M10" t="s">
        <v>22</v>
      </c>
      <c r="N10" t="s">
        <v>28</v>
      </c>
      <c r="O10" t="s">
        <v>24</v>
      </c>
      <c r="P10" t="str">
        <f t="shared" si="1"/>
        <v>OK</v>
      </c>
    </row>
    <row r="11" spans="1:16" x14ac:dyDescent="0.25">
      <c r="A11" t="s">
        <v>51</v>
      </c>
      <c r="B11" t="s">
        <v>52</v>
      </c>
      <c r="C11" t="s">
        <v>17</v>
      </c>
      <c r="D11" t="s">
        <v>43</v>
      </c>
      <c r="E11" t="s">
        <v>44</v>
      </c>
      <c r="F11" t="s">
        <v>35</v>
      </c>
      <c r="G11" t="s">
        <v>21</v>
      </c>
      <c r="H11" s="2">
        <v>1574</v>
      </c>
      <c r="I11" s="2">
        <v>2995</v>
      </c>
      <c r="J11" s="3">
        <v>7</v>
      </c>
      <c r="K11" s="2">
        <f t="shared" si="0"/>
        <v>11018</v>
      </c>
      <c r="L11">
        <v>2</v>
      </c>
      <c r="M11" t="s">
        <v>22</v>
      </c>
      <c r="N11" t="s">
        <v>53</v>
      </c>
      <c r="O11" t="s">
        <v>24</v>
      </c>
      <c r="P11" t="str">
        <f t="shared" si="1"/>
        <v>OK</v>
      </c>
    </row>
    <row r="12" spans="1:16" x14ac:dyDescent="0.25">
      <c r="A12" t="s">
        <v>54</v>
      </c>
      <c r="B12" t="s">
        <v>55</v>
      </c>
      <c r="C12" t="s">
        <v>17</v>
      </c>
      <c r="D12" t="s">
        <v>43</v>
      </c>
      <c r="E12" t="s">
        <v>44</v>
      </c>
      <c r="F12" t="s">
        <v>35</v>
      </c>
      <c r="G12" t="s">
        <v>27</v>
      </c>
      <c r="H12" s="2">
        <v>1619</v>
      </c>
      <c r="I12" s="2">
        <v>2763</v>
      </c>
      <c r="J12" s="3">
        <v>9</v>
      </c>
      <c r="K12" s="2">
        <f t="shared" si="0"/>
        <v>14571</v>
      </c>
      <c r="L12">
        <v>3</v>
      </c>
      <c r="M12" t="s">
        <v>22</v>
      </c>
      <c r="N12" t="s">
        <v>56</v>
      </c>
      <c r="O12" t="s">
        <v>24</v>
      </c>
      <c r="P12" t="str">
        <f t="shared" si="1"/>
        <v>OK</v>
      </c>
    </row>
    <row r="13" spans="1:16" x14ac:dyDescent="0.25">
      <c r="A13" t="s">
        <v>57</v>
      </c>
      <c r="B13" t="s">
        <v>58</v>
      </c>
      <c r="C13" t="s">
        <v>17</v>
      </c>
      <c r="D13" t="s">
        <v>43</v>
      </c>
      <c r="E13" t="s">
        <v>44</v>
      </c>
      <c r="F13" t="s">
        <v>35</v>
      </c>
      <c r="G13" t="s">
        <v>31</v>
      </c>
      <c r="H13" s="2">
        <v>1412</v>
      </c>
      <c r="I13" s="2">
        <v>2548</v>
      </c>
      <c r="J13" s="3">
        <v>5</v>
      </c>
      <c r="K13" s="2">
        <f t="shared" si="0"/>
        <v>7060</v>
      </c>
      <c r="L13">
        <v>2</v>
      </c>
      <c r="M13" t="s">
        <v>22</v>
      </c>
      <c r="N13" t="s">
        <v>45</v>
      </c>
      <c r="O13" t="s">
        <v>24</v>
      </c>
      <c r="P13" t="str">
        <f t="shared" si="1"/>
        <v>OK</v>
      </c>
    </row>
    <row r="14" spans="1:16" x14ac:dyDescent="0.25">
      <c r="A14" t="s">
        <v>59</v>
      </c>
      <c r="B14" t="s">
        <v>60</v>
      </c>
      <c r="C14" t="s">
        <v>17</v>
      </c>
      <c r="D14" t="s">
        <v>61</v>
      </c>
      <c r="E14" t="s">
        <v>62</v>
      </c>
      <c r="F14" t="s">
        <v>63</v>
      </c>
      <c r="G14" t="s">
        <v>21</v>
      </c>
      <c r="H14" s="2">
        <v>867</v>
      </c>
      <c r="I14" s="2">
        <v>1672</v>
      </c>
      <c r="J14" s="3">
        <v>11</v>
      </c>
      <c r="K14" s="2">
        <f t="shared" si="0"/>
        <v>9537</v>
      </c>
      <c r="L14">
        <v>4</v>
      </c>
      <c r="M14" t="s">
        <v>22</v>
      </c>
      <c r="N14" t="s">
        <v>45</v>
      </c>
      <c r="O14" t="s">
        <v>24</v>
      </c>
      <c r="P14" t="str">
        <f t="shared" si="1"/>
        <v>OK</v>
      </c>
    </row>
    <row r="15" spans="1:16" x14ac:dyDescent="0.25">
      <c r="A15" t="s">
        <v>64</v>
      </c>
      <c r="B15" t="s">
        <v>65</v>
      </c>
      <c r="C15" t="s">
        <v>17</v>
      </c>
      <c r="D15" t="s">
        <v>61</v>
      </c>
      <c r="E15" t="s">
        <v>62</v>
      </c>
      <c r="F15" t="s">
        <v>63</v>
      </c>
      <c r="G15" t="s">
        <v>27</v>
      </c>
      <c r="H15" s="2">
        <v>810</v>
      </c>
      <c r="I15" s="2">
        <v>1561</v>
      </c>
      <c r="J15" s="3">
        <v>12</v>
      </c>
      <c r="K15" s="2">
        <f t="shared" si="0"/>
        <v>9720</v>
      </c>
      <c r="L15">
        <v>4</v>
      </c>
      <c r="M15" t="s">
        <v>22</v>
      </c>
      <c r="N15" t="s">
        <v>48</v>
      </c>
      <c r="O15" t="s">
        <v>24</v>
      </c>
      <c r="P15" t="str">
        <f t="shared" si="1"/>
        <v>OK</v>
      </c>
    </row>
    <row r="16" spans="1:16" x14ac:dyDescent="0.25">
      <c r="A16" t="s">
        <v>66</v>
      </c>
      <c r="B16" t="s">
        <v>67</v>
      </c>
      <c r="C16" t="s">
        <v>17</v>
      </c>
      <c r="D16" t="s">
        <v>61</v>
      </c>
      <c r="E16" t="s">
        <v>62</v>
      </c>
      <c r="F16" t="s">
        <v>63</v>
      </c>
      <c r="G16" t="s">
        <v>31</v>
      </c>
      <c r="H16" s="2">
        <v>905</v>
      </c>
      <c r="I16" s="2">
        <v>1514</v>
      </c>
      <c r="J16" s="3">
        <v>8</v>
      </c>
      <c r="K16" s="2">
        <f t="shared" si="0"/>
        <v>7240</v>
      </c>
      <c r="L16">
        <v>3</v>
      </c>
      <c r="M16" t="s">
        <v>22</v>
      </c>
      <c r="N16" t="s">
        <v>28</v>
      </c>
      <c r="O16" t="s">
        <v>24</v>
      </c>
      <c r="P16" t="str">
        <f t="shared" si="1"/>
        <v>OK</v>
      </c>
    </row>
    <row r="17" spans="1:16" x14ac:dyDescent="0.25">
      <c r="A17" t="s">
        <v>68</v>
      </c>
      <c r="B17" t="s">
        <v>69</v>
      </c>
      <c r="C17" t="s">
        <v>70</v>
      </c>
      <c r="G17"/>
      <c r="H17" s="2">
        <v>28</v>
      </c>
      <c r="I17" s="2">
        <v>59</v>
      </c>
      <c r="J17" s="3">
        <v>28</v>
      </c>
      <c r="K17" s="2">
        <f t="shared" si="0"/>
        <v>784</v>
      </c>
      <c r="L17">
        <v>8</v>
      </c>
      <c r="M17" t="s">
        <v>71</v>
      </c>
      <c r="N17" t="s">
        <v>72</v>
      </c>
      <c r="O17" t="s">
        <v>24</v>
      </c>
      <c r="P17" t="str">
        <f t="shared" si="1"/>
        <v>OK</v>
      </c>
    </row>
    <row r="18" spans="1:16" x14ac:dyDescent="0.25">
      <c r="A18" t="s">
        <v>73</v>
      </c>
      <c r="B18" t="s">
        <v>74</v>
      </c>
      <c r="C18" t="s">
        <v>70</v>
      </c>
      <c r="G18"/>
      <c r="H18" s="2">
        <v>28</v>
      </c>
      <c r="I18" s="2">
        <v>59</v>
      </c>
      <c r="J18" s="3">
        <v>33</v>
      </c>
      <c r="K18" s="2">
        <f t="shared" si="0"/>
        <v>924</v>
      </c>
      <c r="L18">
        <v>5</v>
      </c>
      <c r="M18" t="s">
        <v>75</v>
      </c>
      <c r="N18" t="s">
        <v>76</v>
      </c>
      <c r="O18" t="s">
        <v>24</v>
      </c>
      <c r="P18" t="str">
        <f t="shared" si="1"/>
        <v>OK</v>
      </c>
    </row>
    <row r="19" spans="1:16" x14ac:dyDescent="0.25">
      <c r="A19" t="s">
        <v>77</v>
      </c>
      <c r="B19" t="s">
        <v>78</v>
      </c>
      <c r="C19" t="s">
        <v>70</v>
      </c>
      <c r="G19"/>
      <c r="H19" s="2">
        <v>28</v>
      </c>
      <c r="I19" s="2">
        <v>59</v>
      </c>
      <c r="J19" s="3">
        <v>12</v>
      </c>
      <c r="K19" s="2">
        <f t="shared" si="0"/>
        <v>336</v>
      </c>
      <c r="L19">
        <v>15</v>
      </c>
      <c r="M19" t="s">
        <v>79</v>
      </c>
      <c r="N19" t="s">
        <v>80</v>
      </c>
      <c r="O19" t="s">
        <v>24</v>
      </c>
      <c r="P19" t="str">
        <f t="shared" si="1"/>
        <v>REORDER</v>
      </c>
    </row>
    <row r="20" spans="1:16" x14ac:dyDescent="0.25">
      <c r="A20" t="s">
        <v>81</v>
      </c>
      <c r="B20" t="s">
        <v>82</v>
      </c>
      <c r="C20" t="s">
        <v>70</v>
      </c>
      <c r="G20"/>
      <c r="H20" s="2">
        <v>28</v>
      </c>
      <c r="I20" s="2">
        <v>59</v>
      </c>
      <c r="J20" s="3">
        <v>14</v>
      </c>
      <c r="K20" s="2">
        <f t="shared" si="0"/>
        <v>392</v>
      </c>
      <c r="L20">
        <v>10</v>
      </c>
      <c r="M20" t="s">
        <v>83</v>
      </c>
      <c r="N20" t="s">
        <v>84</v>
      </c>
      <c r="O20" t="s">
        <v>24</v>
      </c>
      <c r="P20" t="str">
        <f t="shared" si="1"/>
        <v>OK</v>
      </c>
    </row>
    <row r="21" spans="1:16" x14ac:dyDescent="0.25">
      <c r="A21" t="s">
        <v>85</v>
      </c>
      <c r="B21" t="s">
        <v>86</v>
      </c>
      <c r="C21" t="s">
        <v>70</v>
      </c>
      <c r="G21"/>
      <c r="H21" s="2">
        <v>28</v>
      </c>
      <c r="I21" s="2">
        <v>59</v>
      </c>
      <c r="J21" s="3">
        <v>45</v>
      </c>
      <c r="K21" s="2">
        <f t="shared" si="0"/>
        <v>1260</v>
      </c>
      <c r="L21">
        <v>5</v>
      </c>
      <c r="M21" t="s">
        <v>87</v>
      </c>
      <c r="N21" t="s">
        <v>88</v>
      </c>
      <c r="O21" t="s">
        <v>24</v>
      </c>
      <c r="P21" t="str">
        <f t="shared" si="1"/>
        <v>OK</v>
      </c>
    </row>
    <row r="22" spans="1:16" x14ac:dyDescent="0.25">
      <c r="A22" t="s">
        <v>89</v>
      </c>
      <c r="B22" t="s">
        <v>90</v>
      </c>
      <c r="C22" t="s">
        <v>70</v>
      </c>
      <c r="G22"/>
      <c r="H22" s="2">
        <v>28</v>
      </c>
      <c r="I22" s="2">
        <v>59</v>
      </c>
      <c r="J22" s="3">
        <v>40</v>
      </c>
      <c r="K22" s="2">
        <f t="shared" si="0"/>
        <v>1120</v>
      </c>
      <c r="L22">
        <v>8</v>
      </c>
      <c r="M22" t="s">
        <v>91</v>
      </c>
      <c r="N22" t="s">
        <v>92</v>
      </c>
      <c r="O22" t="s">
        <v>24</v>
      </c>
      <c r="P22" t="str">
        <f t="shared" si="1"/>
        <v>OK</v>
      </c>
    </row>
    <row r="23" spans="1:16" x14ac:dyDescent="0.25">
      <c r="A23" t="s">
        <v>93</v>
      </c>
      <c r="B23" t="s">
        <v>94</v>
      </c>
      <c r="C23" t="s">
        <v>70</v>
      </c>
      <c r="G23"/>
      <c r="H23" s="2">
        <v>29</v>
      </c>
      <c r="I23" s="2">
        <v>61</v>
      </c>
      <c r="J23" s="3">
        <v>10</v>
      </c>
      <c r="K23" s="2">
        <f t="shared" si="0"/>
        <v>290</v>
      </c>
      <c r="L23">
        <v>5</v>
      </c>
      <c r="M23" t="s">
        <v>95</v>
      </c>
      <c r="N23" t="s">
        <v>96</v>
      </c>
      <c r="O23" t="s">
        <v>24</v>
      </c>
      <c r="P23" t="str">
        <f t="shared" si="1"/>
        <v>OK</v>
      </c>
    </row>
    <row r="24" spans="1:16" x14ac:dyDescent="0.25">
      <c r="A24" t="s">
        <v>97</v>
      </c>
      <c r="B24" t="s">
        <v>98</v>
      </c>
      <c r="C24" t="s">
        <v>70</v>
      </c>
      <c r="G24"/>
      <c r="H24" s="2">
        <v>29</v>
      </c>
      <c r="I24" s="2">
        <v>61</v>
      </c>
      <c r="J24" s="3">
        <v>35</v>
      </c>
      <c r="K24" s="2">
        <f t="shared" si="0"/>
        <v>1015</v>
      </c>
      <c r="L24">
        <v>12</v>
      </c>
      <c r="M24" t="s">
        <v>99</v>
      </c>
      <c r="N24" t="s">
        <v>100</v>
      </c>
      <c r="O24" t="s">
        <v>24</v>
      </c>
      <c r="P24" t="str">
        <f t="shared" si="1"/>
        <v>OK</v>
      </c>
    </row>
    <row r="25" spans="1:16" x14ac:dyDescent="0.25">
      <c r="A25" t="s">
        <v>101</v>
      </c>
      <c r="B25" t="s">
        <v>102</v>
      </c>
      <c r="C25" t="s">
        <v>70</v>
      </c>
      <c r="G25"/>
      <c r="H25" s="2">
        <v>29</v>
      </c>
      <c r="I25" s="2">
        <v>61</v>
      </c>
      <c r="J25" s="3">
        <v>12</v>
      </c>
      <c r="K25" s="2">
        <f t="shared" si="0"/>
        <v>348</v>
      </c>
      <c r="L25">
        <v>8</v>
      </c>
      <c r="M25" t="s">
        <v>103</v>
      </c>
      <c r="N25" t="s">
        <v>104</v>
      </c>
      <c r="O25" t="s">
        <v>24</v>
      </c>
      <c r="P25" t="str">
        <f t="shared" si="1"/>
        <v>OK</v>
      </c>
    </row>
    <row r="26" spans="1:16" x14ac:dyDescent="0.25">
      <c r="A26" t="s">
        <v>105</v>
      </c>
      <c r="B26" t="s">
        <v>106</v>
      </c>
      <c r="C26" t="s">
        <v>70</v>
      </c>
      <c r="G26"/>
      <c r="H26" s="2">
        <v>29</v>
      </c>
      <c r="I26" s="2">
        <v>61</v>
      </c>
      <c r="J26" s="3">
        <v>13</v>
      </c>
      <c r="K26" s="2">
        <f t="shared" si="0"/>
        <v>377</v>
      </c>
      <c r="L26">
        <v>15</v>
      </c>
      <c r="M26" t="s">
        <v>107</v>
      </c>
      <c r="N26" t="s">
        <v>108</v>
      </c>
      <c r="O26" t="s">
        <v>24</v>
      </c>
      <c r="P26" t="str">
        <f t="shared" si="1"/>
        <v>REORDER</v>
      </c>
    </row>
    <row r="27" spans="1:16" x14ac:dyDescent="0.25">
      <c r="A27" t="s">
        <v>109</v>
      </c>
      <c r="B27" t="s">
        <v>110</v>
      </c>
      <c r="C27" t="s">
        <v>70</v>
      </c>
      <c r="G27"/>
      <c r="H27" s="2">
        <v>29</v>
      </c>
      <c r="I27" s="2">
        <v>61</v>
      </c>
      <c r="J27" s="3">
        <v>35</v>
      </c>
      <c r="K27" s="2">
        <f t="shared" si="0"/>
        <v>1015</v>
      </c>
      <c r="L27">
        <v>5</v>
      </c>
      <c r="M27" t="s">
        <v>111</v>
      </c>
      <c r="N27" t="s">
        <v>112</v>
      </c>
      <c r="O27" t="s">
        <v>24</v>
      </c>
      <c r="P27" t="str">
        <f t="shared" si="1"/>
        <v>OK</v>
      </c>
    </row>
    <row r="28" spans="1:16" x14ac:dyDescent="0.25">
      <c r="A28" t="s">
        <v>113</v>
      </c>
      <c r="B28" t="s">
        <v>114</v>
      </c>
      <c r="C28" t="s">
        <v>70</v>
      </c>
      <c r="G28"/>
      <c r="H28" s="2">
        <v>29</v>
      </c>
      <c r="I28" s="2">
        <v>61</v>
      </c>
      <c r="J28" s="3">
        <v>60</v>
      </c>
      <c r="K28" s="2">
        <f t="shared" si="0"/>
        <v>1740</v>
      </c>
      <c r="L28">
        <v>15</v>
      </c>
      <c r="M28" t="s">
        <v>115</v>
      </c>
      <c r="N28" t="s">
        <v>116</v>
      </c>
      <c r="O28" t="s">
        <v>24</v>
      </c>
      <c r="P28" t="str">
        <f t="shared" si="1"/>
        <v>OK</v>
      </c>
    </row>
    <row r="29" spans="1:16" x14ac:dyDescent="0.25">
      <c r="A29" t="s">
        <v>117</v>
      </c>
      <c r="B29" t="s">
        <v>118</v>
      </c>
      <c r="C29" t="s">
        <v>70</v>
      </c>
      <c r="G29"/>
      <c r="H29" s="2">
        <v>18</v>
      </c>
      <c r="I29" s="2">
        <v>39</v>
      </c>
      <c r="J29" s="3">
        <v>15</v>
      </c>
      <c r="K29" s="2">
        <f t="shared" si="0"/>
        <v>270</v>
      </c>
      <c r="L29">
        <v>8</v>
      </c>
      <c r="M29" t="s">
        <v>119</v>
      </c>
      <c r="N29" t="s">
        <v>120</v>
      </c>
      <c r="O29" t="s">
        <v>24</v>
      </c>
      <c r="P29" t="str">
        <f t="shared" si="1"/>
        <v>OK</v>
      </c>
    </row>
    <row r="30" spans="1:16" x14ac:dyDescent="0.25">
      <c r="A30" t="s">
        <v>121</v>
      </c>
      <c r="B30" t="s">
        <v>122</v>
      </c>
      <c r="C30" t="s">
        <v>70</v>
      </c>
      <c r="G30"/>
      <c r="H30" s="2">
        <v>18</v>
      </c>
      <c r="I30" s="2">
        <v>39</v>
      </c>
      <c r="J30" s="3">
        <v>48</v>
      </c>
      <c r="K30" s="2">
        <f t="shared" si="0"/>
        <v>864</v>
      </c>
      <c r="L30">
        <v>15</v>
      </c>
      <c r="M30" t="s">
        <v>123</v>
      </c>
      <c r="N30" t="s">
        <v>124</v>
      </c>
      <c r="O30" t="s">
        <v>24</v>
      </c>
      <c r="P30" t="str">
        <f t="shared" si="1"/>
        <v>OK</v>
      </c>
    </row>
    <row r="31" spans="1:16" x14ac:dyDescent="0.25">
      <c r="A31" t="s">
        <v>125</v>
      </c>
      <c r="B31" t="s">
        <v>126</v>
      </c>
      <c r="C31" t="s">
        <v>70</v>
      </c>
      <c r="G31"/>
      <c r="H31" s="2">
        <v>18</v>
      </c>
      <c r="I31" s="2">
        <v>39</v>
      </c>
      <c r="J31" s="3">
        <v>11</v>
      </c>
      <c r="K31" s="2">
        <f t="shared" si="0"/>
        <v>198</v>
      </c>
      <c r="L31">
        <v>15</v>
      </c>
      <c r="M31" t="s">
        <v>127</v>
      </c>
      <c r="N31" t="s">
        <v>128</v>
      </c>
      <c r="O31" t="s">
        <v>24</v>
      </c>
      <c r="P31" t="str">
        <f t="shared" si="1"/>
        <v>REORDER</v>
      </c>
    </row>
    <row r="32" spans="1:16" x14ac:dyDescent="0.25">
      <c r="A32" t="s">
        <v>129</v>
      </c>
      <c r="B32" t="s">
        <v>130</v>
      </c>
      <c r="C32" t="s">
        <v>70</v>
      </c>
      <c r="G32"/>
      <c r="H32" s="2">
        <v>18</v>
      </c>
      <c r="I32" s="2">
        <v>39</v>
      </c>
      <c r="J32" s="3">
        <v>45</v>
      </c>
      <c r="K32" s="2">
        <f t="shared" si="0"/>
        <v>810</v>
      </c>
      <c r="L32">
        <v>12</v>
      </c>
      <c r="M32" t="s">
        <v>131</v>
      </c>
      <c r="N32" t="s">
        <v>132</v>
      </c>
      <c r="O32" t="s">
        <v>24</v>
      </c>
      <c r="P32" t="str">
        <f t="shared" si="1"/>
        <v>OK</v>
      </c>
    </row>
    <row r="33" spans="1:16" x14ac:dyDescent="0.25">
      <c r="A33" t="s">
        <v>133</v>
      </c>
      <c r="B33" t="s">
        <v>134</v>
      </c>
      <c r="C33" t="s">
        <v>70</v>
      </c>
      <c r="G33"/>
      <c r="H33" s="2">
        <v>18</v>
      </c>
      <c r="I33" s="2">
        <v>39</v>
      </c>
      <c r="J33" s="3">
        <v>11</v>
      </c>
      <c r="K33" s="2">
        <f t="shared" si="0"/>
        <v>198</v>
      </c>
      <c r="L33">
        <v>8</v>
      </c>
      <c r="M33" t="s">
        <v>135</v>
      </c>
      <c r="N33" t="s">
        <v>136</v>
      </c>
      <c r="O33" t="s">
        <v>24</v>
      </c>
      <c r="P33" t="str">
        <f t="shared" si="1"/>
        <v>OK</v>
      </c>
    </row>
    <row r="34" spans="1:16" x14ac:dyDescent="0.25">
      <c r="A34" t="s">
        <v>987</v>
      </c>
      <c r="B34" t="s">
        <v>137</v>
      </c>
      <c r="C34" t="s">
        <v>70</v>
      </c>
      <c r="G34"/>
      <c r="H34" s="2">
        <v>18</v>
      </c>
      <c r="I34" s="2">
        <v>39</v>
      </c>
      <c r="J34" s="3">
        <v>10</v>
      </c>
      <c r="K34" s="2">
        <f t="shared" ref="K34:K65" si="2">H34 * J34</f>
        <v>180</v>
      </c>
      <c r="L34">
        <v>15</v>
      </c>
      <c r="M34" t="s">
        <v>138</v>
      </c>
      <c r="N34" t="s">
        <v>139</v>
      </c>
      <c r="O34" t="s">
        <v>24</v>
      </c>
      <c r="P34" t="str">
        <f t="shared" ref="P34:P65" si="3">IF(J34&lt;=L34,"REORDER","OK")</f>
        <v>REORDER</v>
      </c>
    </row>
    <row r="35" spans="1:16" x14ac:dyDescent="0.25">
      <c r="A35" t="s">
        <v>140</v>
      </c>
      <c r="B35" t="s">
        <v>141</v>
      </c>
      <c r="C35" t="s">
        <v>70</v>
      </c>
      <c r="G35"/>
      <c r="H35" s="2">
        <v>19</v>
      </c>
      <c r="I35" s="2">
        <v>41</v>
      </c>
      <c r="J35" s="3">
        <v>16</v>
      </c>
      <c r="K35" s="2">
        <f t="shared" si="2"/>
        <v>304</v>
      </c>
      <c r="L35">
        <v>10</v>
      </c>
      <c r="M35" t="s">
        <v>142</v>
      </c>
      <c r="N35" t="s">
        <v>143</v>
      </c>
      <c r="O35" t="s">
        <v>24</v>
      </c>
      <c r="P35" t="str">
        <f t="shared" si="3"/>
        <v>OK</v>
      </c>
    </row>
    <row r="36" spans="1:16" x14ac:dyDescent="0.25">
      <c r="A36" t="s">
        <v>144</v>
      </c>
      <c r="B36" t="s">
        <v>145</v>
      </c>
      <c r="C36" t="s">
        <v>70</v>
      </c>
      <c r="G36"/>
      <c r="H36" s="2">
        <v>19</v>
      </c>
      <c r="I36" s="2">
        <v>41</v>
      </c>
      <c r="J36" s="3">
        <v>34</v>
      </c>
      <c r="K36" s="2">
        <f t="shared" si="2"/>
        <v>646</v>
      </c>
      <c r="L36">
        <v>8</v>
      </c>
      <c r="M36" t="s">
        <v>146</v>
      </c>
      <c r="N36" t="s">
        <v>147</v>
      </c>
      <c r="O36" t="s">
        <v>24</v>
      </c>
      <c r="P36" t="str">
        <f t="shared" si="3"/>
        <v>OK</v>
      </c>
    </row>
    <row r="37" spans="1:16" x14ac:dyDescent="0.25">
      <c r="A37" t="s">
        <v>148</v>
      </c>
      <c r="B37" t="s">
        <v>149</v>
      </c>
      <c r="C37" t="s">
        <v>70</v>
      </c>
      <c r="G37"/>
      <c r="H37" s="2">
        <v>19</v>
      </c>
      <c r="I37" s="2">
        <v>41</v>
      </c>
      <c r="J37" s="3">
        <v>42</v>
      </c>
      <c r="K37" s="2">
        <f t="shared" si="2"/>
        <v>798</v>
      </c>
      <c r="L37">
        <v>5</v>
      </c>
      <c r="M37" t="s">
        <v>71</v>
      </c>
      <c r="N37" t="s">
        <v>150</v>
      </c>
      <c r="O37" t="s">
        <v>24</v>
      </c>
      <c r="P37" t="str">
        <f t="shared" si="3"/>
        <v>OK</v>
      </c>
    </row>
    <row r="38" spans="1:16" x14ac:dyDescent="0.25">
      <c r="A38" t="s">
        <v>151</v>
      </c>
      <c r="B38" t="s">
        <v>152</v>
      </c>
      <c r="C38" t="s">
        <v>70</v>
      </c>
      <c r="G38"/>
      <c r="H38" s="2">
        <v>19</v>
      </c>
      <c r="I38" s="2">
        <v>41</v>
      </c>
      <c r="J38" s="3">
        <v>44</v>
      </c>
      <c r="K38" s="2">
        <f t="shared" si="2"/>
        <v>836</v>
      </c>
      <c r="L38">
        <v>10</v>
      </c>
      <c r="M38" t="s">
        <v>75</v>
      </c>
      <c r="N38" t="s">
        <v>153</v>
      </c>
      <c r="O38" t="s">
        <v>24</v>
      </c>
      <c r="P38" t="str">
        <f t="shared" si="3"/>
        <v>OK</v>
      </c>
    </row>
    <row r="39" spans="1:16" x14ac:dyDescent="0.25">
      <c r="A39" t="s">
        <v>154</v>
      </c>
      <c r="B39" t="s">
        <v>155</v>
      </c>
      <c r="C39" t="s">
        <v>70</v>
      </c>
      <c r="G39"/>
      <c r="H39" s="2">
        <v>19</v>
      </c>
      <c r="I39" s="2">
        <v>41</v>
      </c>
      <c r="J39" s="3">
        <v>43</v>
      </c>
      <c r="K39" s="2">
        <f t="shared" si="2"/>
        <v>817</v>
      </c>
      <c r="L39">
        <v>8</v>
      </c>
      <c r="M39" t="s">
        <v>79</v>
      </c>
      <c r="N39" t="s">
        <v>156</v>
      </c>
      <c r="O39" t="s">
        <v>24</v>
      </c>
      <c r="P39" t="str">
        <f t="shared" si="3"/>
        <v>OK</v>
      </c>
    </row>
    <row r="40" spans="1:16" x14ac:dyDescent="0.25">
      <c r="A40" t="s">
        <v>157</v>
      </c>
      <c r="B40" t="s">
        <v>158</v>
      </c>
      <c r="C40" t="s">
        <v>70</v>
      </c>
      <c r="G40"/>
      <c r="H40" s="2">
        <v>19</v>
      </c>
      <c r="I40" s="2">
        <v>41</v>
      </c>
      <c r="J40" s="3">
        <v>14</v>
      </c>
      <c r="K40" s="2">
        <f t="shared" si="2"/>
        <v>266</v>
      </c>
      <c r="L40">
        <v>15</v>
      </c>
      <c r="M40" t="s">
        <v>83</v>
      </c>
      <c r="N40" t="s">
        <v>159</v>
      </c>
      <c r="O40" t="s">
        <v>24</v>
      </c>
      <c r="P40" t="str">
        <f t="shared" si="3"/>
        <v>REORDER</v>
      </c>
    </row>
    <row r="41" spans="1:16" x14ac:dyDescent="0.25">
      <c r="A41" t="s">
        <v>160</v>
      </c>
      <c r="B41" t="s">
        <v>161</v>
      </c>
      <c r="C41" t="s">
        <v>70</v>
      </c>
      <c r="G41"/>
      <c r="H41" s="2">
        <v>16</v>
      </c>
      <c r="I41" s="2">
        <v>34</v>
      </c>
      <c r="J41" s="3">
        <v>44</v>
      </c>
      <c r="K41" s="2">
        <f t="shared" si="2"/>
        <v>704</v>
      </c>
      <c r="L41">
        <v>8</v>
      </c>
      <c r="M41" t="s">
        <v>87</v>
      </c>
      <c r="N41" t="s">
        <v>72</v>
      </c>
      <c r="O41" t="s">
        <v>24</v>
      </c>
      <c r="P41" t="str">
        <f t="shared" si="3"/>
        <v>OK</v>
      </c>
    </row>
    <row r="42" spans="1:16" x14ac:dyDescent="0.25">
      <c r="A42" t="s">
        <v>162</v>
      </c>
      <c r="B42" t="s">
        <v>163</v>
      </c>
      <c r="C42" t="s">
        <v>70</v>
      </c>
      <c r="G42"/>
      <c r="H42" s="2">
        <v>16</v>
      </c>
      <c r="I42" s="2">
        <v>34</v>
      </c>
      <c r="J42" s="3">
        <v>31</v>
      </c>
      <c r="K42" s="2">
        <f t="shared" si="2"/>
        <v>496</v>
      </c>
      <c r="L42">
        <v>5</v>
      </c>
      <c r="M42" t="s">
        <v>91</v>
      </c>
      <c r="N42" t="s">
        <v>76</v>
      </c>
      <c r="O42" t="s">
        <v>24</v>
      </c>
      <c r="P42" t="str">
        <f t="shared" si="3"/>
        <v>OK</v>
      </c>
    </row>
    <row r="43" spans="1:16" x14ac:dyDescent="0.25">
      <c r="A43" t="s">
        <v>164</v>
      </c>
      <c r="B43" t="s">
        <v>165</v>
      </c>
      <c r="C43" t="s">
        <v>70</v>
      </c>
      <c r="G43"/>
      <c r="H43" s="2">
        <v>16</v>
      </c>
      <c r="I43" s="2">
        <v>34</v>
      </c>
      <c r="J43" s="3">
        <v>43</v>
      </c>
      <c r="K43" s="2">
        <f t="shared" si="2"/>
        <v>688</v>
      </c>
      <c r="L43">
        <v>5</v>
      </c>
      <c r="M43" t="s">
        <v>95</v>
      </c>
      <c r="N43" t="s">
        <v>80</v>
      </c>
      <c r="O43" t="s">
        <v>24</v>
      </c>
      <c r="P43" t="str">
        <f t="shared" si="3"/>
        <v>OK</v>
      </c>
    </row>
    <row r="44" spans="1:16" x14ac:dyDescent="0.25">
      <c r="A44" t="s">
        <v>166</v>
      </c>
      <c r="B44" t="s">
        <v>167</v>
      </c>
      <c r="C44" t="s">
        <v>70</v>
      </c>
      <c r="G44"/>
      <c r="H44" s="2">
        <v>16</v>
      </c>
      <c r="I44" s="2">
        <v>34</v>
      </c>
      <c r="J44" s="3">
        <v>44</v>
      </c>
      <c r="K44" s="2">
        <f t="shared" si="2"/>
        <v>704</v>
      </c>
      <c r="L44">
        <v>5</v>
      </c>
      <c r="M44" t="s">
        <v>99</v>
      </c>
      <c r="N44" t="s">
        <v>84</v>
      </c>
      <c r="O44" t="s">
        <v>24</v>
      </c>
      <c r="P44" t="str">
        <f t="shared" si="3"/>
        <v>OK</v>
      </c>
    </row>
    <row r="45" spans="1:16" x14ac:dyDescent="0.25">
      <c r="A45" t="s">
        <v>168</v>
      </c>
      <c r="B45" t="s">
        <v>169</v>
      </c>
      <c r="C45" t="s">
        <v>70</v>
      </c>
      <c r="G45"/>
      <c r="H45" s="2">
        <v>16</v>
      </c>
      <c r="I45" s="2">
        <v>34</v>
      </c>
      <c r="J45" s="3">
        <v>47</v>
      </c>
      <c r="K45" s="2">
        <f t="shared" si="2"/>
        <v>752</v>
      </c>
      <c r="L45">
        <v>8</v>
      </c>
      <c r="M45" t="s">
        <v>103</v>
      </c>
      <c r="N45" t="s">
        <v>88</v>
      </c>
      <c r="O45" t="s">
        <v>24</v>
      </c>
      <c r="P45" t="str">
        <f t="shared" si="3"/>
        <v>OK</v>
      </c>
    </row>
    <row r="46" spans="1:16" x14ac:dyDescent="0.25">
      <c r="A46" t="s">
        <v>989</v>
      </c>
      <c r="B46" t="s">
        <v>170</v>
      </c>
      <c r="C46" t="s">
        <v>70</v>
      </c>
      <c r="G46"/>
      <c r="H46" s="2">
        <v>16</v>
      </c>
      <c r="I46" s="2">
        <v>34</v>
      </c>
      <c r="J46" s="3">
        <v>39</v>
      </c>
      <c r="K46" s="2">
        <f t="shared" si="2"/>
        <v>624</v>
      </c>
      <c r="L46">
        <v>15</v>
      </c>
      <c r="M46" t="s">
        <v>107</v>
      </c>
      <c r="N46" t="s">
        <v>92</v>
      </c>
      <c r="O46" t="s">
        <v>24</v>
      </c>
      <c r="P46" t="str">
        <f t="shared" si="3"/>
        <v>OK</v>
      </c>
    </row>
    <row r="47" spans="1:16" x14ac:dyDescent="0.25">
      <c r="A47" t="s">
        <v>171</v>
      </c>
      <c r="B47" t="s">
        <v>172</v>
      </c>
      <c r="C47" t="s">
        <v>70</v>
      </c>
      <c r="G47"/>
      <c r="H47" s="2">
        <v>17</v>
      </c>
      <c r="I47" s="2">
        <v>36</v>
      </c>
      <c r="J47" s="3">
        <v>35</v>
      </c>
      <c r="K47" s="2">
        <f t="shared" si="2"/>
        <v>595</v>
      </c>
      <c r="L47">
        <v>10</v>
      </c>
      <c r="M47" t="s">
        <v>111</v>
      </c>
      <c r="N47" t="s">
        <v>96</v>
      </c>
      <c r="O47" t="s">
        <v>24</v>
      </c>
      <c r="P47" t="str">
        <f t="shared" si="3"/>
        <v>OK</v>
      </c>
    </row>
    <row r="48" spans="1:16" x14ac:dyDescent="0.25">
      <c r="A48" t="s">
        <v>173</v>
      </c>
      <c r="B48" t="s">
        <v>174</v>
      </c>
      <c r="C48" t="s">
        <v>70</v>
      </c>
      <c r="G48"/>
      <c r="H48" s="2">
        <v>17</v>
      </c>
      <c r="I48" s="2">
        <v>36</v>
      </c>
      <c r="J48" s="3">
        <v>37</v>
      </c>
      <c r="K48" s="2">
        <f t="shared" si="2"/>
        <v>629</v>
      </c>
      <c r="L48">
        <v>15</v>
      </c>
      <c r="M48" t="s">
        <v>115</v>
      </c>
      <c r="N48" t="s">
        <v>100</v>
      </c>
      <c r="O48" t="s">
        <v>24</v>
      </c>
      <c r="P48" t="str">
        <f t="shared" si="3"/>
        <v>OK</v>
      </c>
    </row>
    <row r="49" spans="1:16" x14ac:dyDescent="0.25">
      <c r="A49" t="s">
        <v>175</v>
      </c>
      <c r="B49" t="s">
        <v>176</v>
      </c>
      <c r="C49" t="s">
        <v>70</v>
      </c>
      <c r="G49"/>
      <c r="H49" s="2">
        <v>17</v>
      </c>
      <c r="I49" s="2">
        <v>36</v>
      </c>
      <c r="J49" s="3">
        <v>37</v>
      </c>
      <c r="K49" s="2">
        <f t="shared" si="2"/>
        <v>629</v>
      </c>
      <c r="L49">
        <v>10</v>
      </c>
      <c r="M49" t="s">
        <v>119</v>
      </c>
      <c r="N49" t="s">
        <v>104</v>
      </c>
      <c r="O49" t="s">
        <v>24</v>
      </c>
      <c r="P49" t="str">
        <f t="shared" si="3"/>
        <v>OK</v>
      </c>
    </row>
    <row r="50" spans="1:16" x14ac:dyDescent="0.25">
      <c r="A50" t="s">
        <v>177</v>
      </c>
      <c r="B50" t="s">
        <v>178</v>
      </c>
      <c r="C50" t="s">
        <v>70</v>
      </c>
      <c r="G50"/>
      <c r="H50" s="2">
        <v>17</v>
      </c>
      <c r="I50" s="2">
        <v>36</v>
      </c>
      <c r="J50" s="3">
        <v>27</v>
      </c>
      <c r="K50" s="2">
        <f t="shared" si="2"/>
        <v>459</v>
      </c>
      <c r="L50">
        <v>8</v>
      </c>
      <c r="M50" t="s">
        <v>123</v>
      </c>
      <c r="N50" t="s">
        <v>108</v>
      </c>
      <c r="O50" t="s">
        <v>24</v>
      </c>
      <c r="P50" t="str">
        <f t="shared" si="3"/>
        <v>OK</v>
      </c>
    </row>
    <row r="51" spans="1:16" x14ac:dyDescent="0.25">
      <c r="A51" t="s">
        <v>179</v>
      </c>
      <c r="B51" t="s">
        <v>180</v>
      </c>
      <c r="C51" t="s">
        <v>70</v>
      </c>
      <c r="G51"/>
      <c r="H51" s="2">
        <v>17</v>
      </c>
      <c r="I51" s="2">
        <v>36</v>
      </c>
      <c r="J51" s="3">
        <v>58</v>
      </c>
      <c r="K51" s="2">
        <f t="shared" si="2"/>
        <v>986</v>
      </c>
      <c r="L51">
        <v>8</v>
      </c>
      <c r="M51" t="s">
        <v>127</v>
      </c>
      <c r="N51" t="s">
        <v>112</v>
      </c>
      <c r="O51" t="s">
        <v>24</v>
      </c>
      <c r="P51" t="str">
        <f t="shared" si="3"/>
        <v>OK</v>
      </c>
    </row>
    <row r="52" spans="1:16" x14ac:dyDescent="0.25">
      <c r="A52" t="s">
        <v>181</v>
      </c>
      <c r="B52" t="s">
        <v>182</v>
      </c>
      <c r="C52" t="s">
        <v>70</v>
      </c>
      <c r="G52"/>
      <c r="H52" s="2">
        <v>17</v>
      </c>
      <c r="I52" s="2">
        <v>36</v>
      </c>
      <c r="J52" s="3">
        <v>52</v>
      </c>
      <c r="K52" s="2">
        <f t="shared" si="2"/>
        <v>884</v>
      </c>
      <c r="L52">
        <v>8</v>
      </c>
      <c r="M52" t="s">
        <v>131</v>
      </c>
      <c r="N52" t="s">
        <v>116</v>
      </c>
      <c r="O52" t="s">
        <v>24</v>
      </c>
      <c r="P52" t="str">
        <f t="shared" si="3"/>
        <v>OK</v>
      </c>
    </row>
    <row r="53" spans="1:16" x14ac:dyDescent="0.25">
      <c r="A53" t="s">
        <v>183</v>
      </c>
      <c r="B53" t="s">
        <v>184</v>
      </c>
      <c r="C53" t="s">
        <v>70</v>
      </c>
      <c r="G53"/>
      <c r="H53" s="2">
        <v>9</v>
      </c>
      <c r="I53" s="2">
        <v>22</v>
      </c>
      <c r="J53" s="3">
        <v>13</v>
      </c>
      <c r="K53" s="2">
        <f t="shared" si="2"/>
        <v>117</v>
      </c>
      <c r="L53">
        <v>15</v>
      </c>
      <c r="M53" t="s">
        <v>135</v>
      </c>
      <c r="N53" t="s">
        <v>120</v>
      </c>
      <c r="O53" t="s">
        <v>24</v>
      </c>
      <c r="P53" t="str">
        <f t="shared" si="3"/>
        <v>REORDER</v>
      </c>
    </row>
    <row r="54" spans="1:16" x14ac:dyDescent="0.25">
      <c r="A54" t="s">
        <v>185</v>
      </c>
      <c r="B54" t="s">
        <v>186</v>
      </c>
      <c r="C54" t="s">
        <v>70</v>
      </c>
      <c r="G54"/>
      <c r="H54" s="2">
        <v>9</v>
      </c>
      <c r="I54" s="2">
        <v>22</v>
      </c>
      <c r="J54" s="3">
        <v>27</v>
      </c>
      <c r="K54" s="2">
        <f t="shared" si="2"/>
        <v>243</v>
      </c>
      <c r="L54">
        <v>15</v>
      </c>
      <c r="M54" t="s">
        <v>138</v>
      </c>
      <c r="N54" t="s">
        <v>124</v>
      </c>
      <c r="O54" t="s">
        <v>24</v>
      </c>
      <c r="P54" t="str">
        <f t="shared" si="3"/>
        <v>OK</v>
      </c>
    </row>
    <row r="55" spans="1:16" x14ac:dyDescent="0.25">
      <c r="A55" t="s">
        <v>187</v>
      </c>
      <c r="B55" t="s">
        <v>188</v>
      </c>
      <c r="C55" t="s">
        <v>70</v>
      </c>
      <c r="G55"/>
      <c r="H55" s="2">
        <v>9</v>
      </c>
      <c r="I55" s="2">
        <v>22</v>
      </c>
      <c r="J55" s="3">
        <v>39</v>
      </c>
      <c r="K55" s="2">
        <f t="shared" si="2"/>
        <v>351</v>
      </c>
      <c r="L55">
        <v>10</v>
      </c>
      <c r="M55" t="s">
        <v>142</v>
      </c>
      <c r="N55" t="s">
        <v>128</v>
      </c>
      <c r="O55" t="s">
        <v>24</v>
      </c>
      <c r="P55" t="str">
        <f t="shared" si="3"/>
        <v>OK</v>
      </c>
    </row>
    <row r="56" spans="1:16" x14ac:dyDescent="0.25">
      <c r="A56" t="s">
        <v>189</v>
      </c>
      <c r="B56" t="s">
        <v>190</v>
      </c>
      <c r="C56" t="s">
        <v>70</v>
      </c>
      <c r="G56"/>
      <c r="H56" s="2">
        <v>9</v>
      </c>
      <c r="I56" s="2">
        <v>22</v>
      </c>
      <c r="J56" s="3">
        <v>54</v>
      </c>
      <c r="K56" s="2">
        <f t="shared" si="2"/>
        <v>486</v>
      </c>
      <c r="L56">
        <v>12</v>
      </c>
      <c r="M56" t="s">
        <v>146</v>
      </c>
      <c r="N56" t="s">
        <v>132</v>
      </c>
      <c r="O56" t="s">
        <v>24</v>
      </c>
      <c r="P56" t="str">
        <f t="shared" si="3"/>
        <v>OK</v>
      </c>
    </row>
    <row r="57" spans="1:16" x14ac:dyDescent="0.25">
      <c r="A57" t="s">
        <v>191</v>
      </c>
      <c r="B57" t="s">
        <v>192</v>
      </c>
      <c r="C57" t="s">
        <v>70</v>
      </c>
      <c r="G57"/>
      <c r="H57" s="2">
        <v>9</v>
      </c>
      <c r="I57" s="2">
        <v>22</v>
      </c>
      <c r="J57" s="3">
        <v>26</v>
      </c>
      <c r="K57" s="2">
        <f t="shared" si="2"/>
        <v>234</v>
      </c>
      <c r="L57">
        <v>15</v>
      </c>
      <c r="M57" t="s">
        <v>71</v>
      </c>
      <c r="N57" t="s">
        <v>136</v>
      </c>
      <c r="O57" t="s">
        <v>24</v>
      </c>
      <c r="P57" t="str">
        <f t="shared" si="3"/>
        <v>OK</v>
      </c>
    </row>
    <row r="58" spans="1:16" x14ac:dyDescent="0.25">
      <c r="A58" t="s">
        <v>990</v>
      </c>
      <c r="B58" t="s">
        <v>193</v>
      </c>
      <c r="C58" t="s">
        <v>70</v>
      </c>
      <c r="G58"/>
      <c r="H58" s="2">
        <v>9</v>
      </c>
      <c r="I58" s="2">
        <v>22</v>
      </c>
      <c r="J58" s="3">
        <v>12</v>
      </c>
      <c r="K58" s="2">
        <f t="shared" si="2"/>
        <v>108</v>
      </c>
      <c r="L58">
        <v>5</v>
      </c>
      <c r="M58" t="s">
        <v>75</v>
      </c>
      <c r="N58" t="s">
        <v>139</v>
      </c>
      <c r="O58" t="s">
        <v>24</v>
      </c>
      <c r="P58" t="str">
        <f t="shared" si="3"/>
        <v>OK</v>
      </c>
    </row>
    <row r="59" spans="1:16" x14ac:dyDescent="0.25">
      <c r="A59" t="s">
        <v>194</v>
      </c>
      <c r="B59" t="s">
        <v>195</v>
      </c>
      <c r="C59" t="s">
        <v>70</v>
      </c>
      <c r="G59"/>
      <c r="H59" s="2">
        <v>10</v>
      </c>
      <c r="I59" s="2">
        <v>24</v>
      </c>
      <c r="J59" s="3">
        <v>40</v>
      </c>
      <c r="K59" s="2">
        <f t="shared" si="2"/>
        <v>400</v>
      </c>
      <c r="L59">
        <v>12</v>
      </c>
      <c r="M59" t="s">
        <v>79</v>
      </c>
      <c r="N59" t="s">
        <v>143</v>
      </c>
      <c r="O59" t="s">
        <v>24</v>
      </c>
      <c r="P59" t="str">
        <f t="shared" si="3"/>
        <v>OK</v>
      </c>
    </row>
    <row r="60" spans="1:16" x14ac:dyDescent="0.25">
      <c r="A60" t="s">
        <v>196</v>
      </c>
      <c r="B60" t="s">
        <v>197</v>
      </c>
      <c r="C60" t="s">
        <v>70</v>
      </c>
      <c r="G60"/>
      <c r="H60" s="2">
        <v>10</v>
      </c>
      <c r="I60" s="2">
        <v>24</v>
      </c>
      <c r="J60" s="3">
        <v>18</v>
      </c>
      <c r="K60" s="2">
        <f t="shared" si="2"/>
        <v>180</v>
      </c>
      <c r="L60">
        <v>10</v>
      </c>
      <c r="M60" t="s">
        <v>83</v>
      </c>
      <c r="N60" t="s">
        <v>147</v>
      </c>
      <c r="O60" t="s">
        <v>24</v>
      </c>
      <c r="P60" t="str">
        <f t="shared" si="3"/>
        <v>OK</v>
      </c>
    </row>
    <row r="61" spans="1:16" x14ac:dyDescent="0.25">
      <c r="A61" t="s">
        <v>198</v>
      </c>
      <c r="B61" t="s">
        <v>199</v>
      </c>
      <c r="C61" t="s">
        <v>70</v>
      </c>
      <c r="G61"/>
      <c r="H61" s="2">
        <v>10</v>
      </c>
      <c r="I61" s="2">
        <v>24</v>
      </c>
      <c r="J61" s="3">
        <v>17</v>
      </c>
      <c r="K61" s="2">
        <f t="shared" si="2"/>
        <v>170</v>
      </c>
      <c r="L61">
        <v>12</v>
      </c>
      <c r="M61" t="s">
        <v>87</v>
      </c>
      <c r="N61" t="s">
        <v>150</v>
      </c>
      <c r="O61" t="s">
        <v>24</v>
      </c>
      <c r="P61" t="str">
        <f t="shared" si="3"/>
        <v>OK</v>
      </c>
    </row>
    <row r="62" spans="1:16" x14ac:dyDescent="0.25">
      <c r="A62" t="s">
        <v>200</v>
      </c>
      <c r="B62" t="s">
        <v>201</v>
      </c>
      <c r="C62" t="s">
        <v>70</v>
      </c>
      <c r="G62"/>
      <c r="H62" s="2">
        <v>10</v>
      </c>
      <c r="I62" s="2">
        <v>24</v>
      </c>
      <c r="J62" s="3">
        <v>34</v>
      </c>
      <c r="K62" s="2">
        <f t="shared" si="2"/>
        <v>340</v>
      </c>
      <c r="L62">
        <v>5</v>
      </c>
      <c r="M62" t="s">
        <v>91</v>
      </c>
      <c r="N62" t="s">
        <v>153</v>
      </c>
      <c r="O62" t="s">
        <v>24</v>
      </c>
      <c r="P62" t="str">
        <f t="shared" si="3"/>
        <v>OK</v>
      </c>
    </row>
    <row r="63" spans="1:16" x14ac:dyDescent="0.25">
      <c r="A63" t="s">
        <v>202</v>
      </c>
      <c r="B63" t="s">
        <v>203</v>
      </c>
      <c r="C63" t="s">
        <v>70</v>
      </c>
      <c r="G63"/>
      <c r="H63" s="2">
        <v>10</v>
      </c>
      <c r="I63" s="2">
        <v>24</v>
      </c>
      <c r="J63" s="3">
        <v>50</v>
      </c>
      <c r="K63" s="2">
        <f t="shared" si="2"/>
        <v>500</v>
      </c>
      <c r="L63">
        <v>5</v>
      </c>
      <c r="M63" t="s">
        <v>95</v>
      </c>
      <c r="N63" t="s">
        <v>156</v>
      </c>
      <c r="O63" t="s">
        <v>24</v>
      </c>
      <c r="P63" t="str">
        <f t="shared" si="3"/>
        <v>OK</v>
      </c>
    </row>
    <row r="64" spans="1:16" x14ac:dyDescent="0.25">
      <c r="A64" t="s">
        <v>204</v>
      </c>
      <c r="B64" t="s">
        <v>205</v>
      </c>
      <c r="C64" t="s">
        <v>70</v>
      </c>
      <c r="G64"/>
      <c r="H64" s="2">
        <v>10</v>
      </c>
      <c r="I64" s="2">
        <v>24</v>
      </c>
      <c r="J64" s="3">
        <v>56</v>
      </c>
      <c r="K64" s="2">
        <f t="shared" si="2"/>
        <v>560</v>
      </c>
      <c r="L64">
        <v>15</v>
      </c>
      <c r="M64" t="s">
        <v>99</v>
      </c>
      <c r="N64" t="s">
        <v>159</v>
      </c>
      <c r="O64" t="s">
        <v>24</v>
      </c>
      <c r="P64" t="str">
        <f t="shared" si="3"/>
        <v>OK</v>
      </c>
    </row>
    <row r="65" spans="1:16" x14ac:dyDescent="0.25">
      <c r="A65" t="s">
        <v>206</v>
      </c>
      <c r="B65" t="s">
        <v>207</v>
      </c>
      <c r="C65" t="s">
        <v>70</v>
      </c>
      <c r="G65"/>
      <c r="H65" s="2">
        <v>24</v>
      </c>
      <c r="I65" s="2">
        <v>49</v>
      </c>
      <c r="J65" s="3">
        <v>44</v>
      </c>
      <c r="K65" s="2">
        <f t="shared" si="2"/>
        <v>1056</v>
      </c>
      <c r="L65">
        <v>10</v>
      </c>
      <c r="M65" t="s">
        <v>103</v>
      </c>
      <c r="N65" t="s">
        <v>72</v>
      </c>
      <c r="O65" t="s">
        <v>24</v>
      </c>
      <c r="P65" t="str">
        <f t="shared" si="3"/>
        <v>OK</v>
      </c>
    </row>
    <row r="66" spans="1:16" x14ac:dyDescent="0.25">
      <c r="A66" t="s">
        <v>208</v>
      </c>
      <c r="B66" t="s">
        <v>209</v>
      </c>
      <c r="C66" t="s">
        <v>70</v>
      </c>
      <c r="G66"/>
      <c r="H66" s="2">
        <v>24</v>
      </c>
      <c r="I66" s="2">
        <v>49</v>
      </c>
      <c r="J66" s="3">
        <v>29</v>
      </c>
      <c r="K66" s="2">
        <f t="shared" ref="K66:K97" si="4">H66 * J66</f>
        <v>696</v>
      </c>
      <c r="L66">
        <v>10</v>
      </c>
      <c r="M66" t="s">
        <v>107</v>
      </c>
      <c r="N66" t="s">
        <v>76</v>
      </c>
      <c r="O66" t="s">
        <v>24</v>
      </c>
      <c r="P66" t="str">
        <f t="shared" ref="P66:P97" si="5">IF(J66&lt;=L66,"REORDER","OK")</f>
        <v>OK</v>
      </c>
    </row>
    <row r="67" spans="1:16" x14ac:dyDescent="0.25">
      <c r="A67" t="s">
        <v>991</v>
      </c>
      <c r="B67" t="s">
        <v>210</v>
      </c>
      <c r="C67" t="s">
        <v>70</v>
      </c>
      <c r="G67"/>
      <c r="H67" s="2">
        <v>24</v>
      </c>
      <c r="I67" s="2">
        <v>49</v>
      </c>
      <c r="J67" s="3">
        <v>46</v>
      </c>
      <c r="K67" s="2">
        <f t="shared" si="4"/>
        <v>1104</v>
      </c>
      <c r="L67">
        <v>12</v>
      </c>
      <c r="M67" t="s">
        <v>111</v>
      </c>
      <c r="N67" t="s">
        <v>80</v>
      </c>
      <c r="O67" t="s">
        <v>24</v>
      </c>
      <c r="P67" t="str">
        <f t="shared" si="5"/>
        <v>OK</v>
      </c>
    </row>
    <row r="68" spans="1:16" x14ac:dyDescent="0.25">
      <c r="A68" t="s">
        <v>211</v>
      </c>
      <c r="B68" t="s">
        <v>212</v>
      </c>
      <c r="C68" t="s">
        <v>70</v>
      </c>
      <c r="G68"/>
      <c r="H68" s="2">
        <v>24</v>
      </c>
      <c r="I68" s="2">
        <v>49</v>
      </c>
      <c r="J68" s="3">
        <v>45</v>
      </c>
      <c r="K68" s="2">
        <f t="shared" si="4"/>
        <v>1080</v>
      </c>
      <c r="L68">
        <v>12</v>
      </c>
      <c r="M68" t="s">
        <v>115</v>
      </c>
      <c r="N68" t="s">
        <v>84</v>
      </c>
      <c r="O68" t="s">
        <v>24</v>
      </c>
      <c r="P68" t="str">
        <f t="shared" si="5"/>
        <v>OK</v>
      </c>
    </row>
    <row r="69" spans="1:16" x14ac:dyDescent="0.25">
      <c r="A69" t="s">
        <v>213</v>
      </c>
      <c r="B69" t="s">
        <v>214</v>
      </c>
      <c r="C69" t="s">
        <v>70</v>
      </c>
      <c r="G69"/>
      <c r="H69" s="2">
        <v>24</v>
      </c>
      <c r="I69" s="2">
        <v>49</v>
      </c>
      <c r="J69" s="3">
        <v>12</v>
      </c>
      <c r="K69" s="2">
        <f t="shared" si="4"/>
        <v>288</v>
      </c>
      <c r="L69">
        <v>5</v>
      </c>
      <c r="M69" t="s">
        <v>119</v>
      </c>
      <c r="N69" t="s">
        <v>88</v>
      </c>
      <c r="O69" t="s">
        <v>24</v>
      </c>
      <c r="P69" t="str">
        <f t="shared" si="5"/>
        <v>OK</v>
      </c>
    </row>
    <row r="70" spans="1:16" x14ac:dyDescent="0.25">
      <c r="A70" t="s">
        <v>992</v>
      </c>
      <c r="B70" t="s">
        <v>215</v>
      </c>
      <c r="C70" t="s">
        <v>70</v>
      </c>
      <c r="G70"/>
      <c r="H70" s="2">
        <v>24</v>
      </c>
      <c r="I70" s="2">
        <v>49</v>
      </c>
      <c r="J70" s="3">
        <v>25</v>
      </c>
      <c r="K70" s="2">
        <f t="shared" si="4"/>
        <v>600</v>
      </c>
      <c r="L70">
        <v>12</v>
      </c>
      <c r="M70" t="s">
        <v>123</v>
      </c>
      <c r="N70" t="s">
        <v>92</v>
      </c>
      <c r="O70" t="s">
        <v>24</v>
      </c>
      <c r="P70" t="str">
        <f t="shared" si="5"/>
        <v>OK</v>
      </c>
    </row>
    <row r="71" spans="1:16" x14ac:dyDescent="0.25">
      <c r="A71" t="s">
        <v>216</v>
      </c>
      <c r="B71" t="s">
        <v>217</v>
      </c>
      <c r="C71" t="s">
        <v>70</v>
      </c>
      <c r="G71"/>
      <c r="H71" s="2">
        <v>25</v>
      </c>
      <c r="I71" s="2">
        <v>51</v>
      </c>
      <c r="J71" s="3">
        <v>52</v>
      </c>
      <c r="K71" s="2">
        <f t="shared" si="4"/>
        <v>1300</v>
      </c>
      <c r="L71">
        <v>5</v>
      </c>
      <c r="M71" t="s">
        <v>127</v>
      </c>
      <c r="N71" t="s">
        <v>96</v>
      </c>
      <c r="O71" t="s">
        <v>24</v>
      </c>
      <c r="P71" t="str">
        <f t="shared" si="5"/>
        <v>OK</v>
      </c>
    </row>
    <row r="72" spans="1:16" x14ac:dyDescent="0.25">
      <c r="A72" t="s">
        <v>218</v>
      </c>
      <c r="B72" t="s">
        <v>219</v>
      </c>
      <c r="C72" t="s">
        <v>70</v>
      </c>
      <c r="G72"/>
      <c r="H72" s="2">
        <v>25</v>
      </c>
      <c r="I72" s="2">
        <v>51</v>
      </c>
      <c r="J72" s="3">
        <v>11</v>
      </c>
      <c r="K72" s="2">
        <f t="shared" si="4"/>
        <v>275</v>
      </c>
      <c r="L72">
        <v>10</v>
      </c>
      <c r="M72" t="s">
        <v>131</v>
      </c>
      <c r="N72" t="s">
        <v>100</v>
      </c>
      <c r="O72" t="s">
        <v>24</v>
      </c>
      <c r="P72" t="str">
        <f t="shared" si="5"/>
        <v>OK</v>
      </c>
    </row>
    <row r="73" spans="1:16" x14ac:dyDescent="0.25">
      <c r="A73" t="s">
        <v>220</v>
      </c>
      <c r="B73" t="s">
        <v>221</v>
      </c>
      <c r="C73" t="s">
        <v>70</v>
      </c>
      <c r="G73"/>
      <c r="H73" s="2">
        <v>25</v>
      </c>
      <c r="I73" s="2">
        <v>51</v>
      </c>
      <c r="J73" s="3">
        <v>49</v>
      </c>
      <c r="K73" s="2">
        <f t="shared" si="4"/>
        <v>1225</v>
      </c>
      <c r="L73">
        <v>15</v>
      </c>
      <c r="M73" t="s">
        <v>135</v>
      </c>
      <c r="N73" t="s">
        <v>104</v>
      </c>
      <c r="O73" t="s">
        <v>24</v>
      </c>
      <c r="P73" t="str">
        <f t="shared" si="5"/>
        <v>OK</v>
      </c>
    </row>
    <row r="74" spans="1:16" x14ac:dyDescent="0.25">
      <c r="A74" t="s">
        <v>222</v>
      </c>
      <c r="B74" t="s">
        <v>223</v>
      </c>
      <c r="C74" t="s">
        <v>70</v>
      </c>
      <c r="G74"/>
      <c r="H74" s="2">
        <v>25</v>
      </c>
      <c r="I74" s="2">
        <v>51</v>
      </c>
      <c r="J74" s="3">
        <v>51</v>
      </c>
      <c r="K74" s="2">
        <f t="shared" si="4"/>
        <v>1275</v>
      </c>
      <c r="L74">
        <v>12</v>
      </c>
      <c r="M74" t="s">
        <v>138</v>
      </c>
      <c r="N74" t="s">
        <v>108</v>
      </c>
      <c r="O74" t="s">
        <v>24</v>
      </c>
      <c r="P74" t="str">
        <f t="shared" si="5"/>
        <v>OK</v>
      </c>
    </row>
    <row r="75" spans="1:16" x14ac:dyDescent="0.25">
      <c r="A75" t="s">
        <v>224</v>
      </c>
      <c r="B75" t="s">
        <v>225</v>
      </c>
      <c r="C75" t="s">
        <v>70</v>
      </c>
      <c r="G75"/>
      <c r="H75" s="2">
        <v>25</v>
      </c>
      <c r="I75" s="2">
        <v>51</v>
      </c>
      <c r="J75" s="3">
        <v>26</v>
      </c>
      <c r="K75" s="2">
        <f t="shared" si="4"/>
        <v>650</v>
      </c>
      <c r="L75">
        <v>12</v>
      </c>
      <c r="M75" t="s">
        <v>142</v>
      </c>
      <c r="N75" t="s">
        <v>112</v>
      </c>
      <c r="O75" t="s">
        <v>24</v>
      </c>
      <c r="P75" t="str">
        <f t="shared" si="5"/>
        <v>OK</v>
      </c>
    </row>
    <row r="76" spans="1:16" x14ac:dyDescent="0.25">
      <c r="A76" t="s">
        <v>226</v>
      </c>
      <c r="B76" t="s">
        <v>227</v>
      </c>
      <c r="C76" t="s">
        <v>70</v>
      </c>
      <c r="G76"/>
      <c r="H76" s="2">
        <v>25</v>
      </c>
      <c r="I76" s="2">
        <v>51</v>
      </c>
      <c r="J76" s="3">
        <v>50</v>
      </c>
      <c r="K76" s="2">
        <f t="shared" si="4"/>
        <v>1250</v>
      </c>
      <c r="L76">
        <v>10</v>
      </c>
      <c r="M76" t="s">
        <v>146</v>
      </c>
      <c r="N76" t="s">
        <v>116</v>
      </c>
      <c r="O76" t="s">
        <v>24</v>
      </c>
      <c r="P76" t="str">
        <f t="shared" si="5"/>
        <v>OK</v>
      </c>
    </row>
    <row r="77" spans="1:16" x14ac:dyDescent="0.25">
      <c r="A77" t="s">
        <v>228</v>
      </c>
      <c r="B77" t="s">
        <v>229</v>
      </c>
      <c r="C77" t="s">
        <v>70</v>
      </c>
      <c r="G77"/>
      <c r="H77" s="2">
        <v>22</v>
      </c>
      <c r="I77" s="2">
        <v>46</v>
      </c>
      <c r="J77" s="3">
        <v>9</v>
      </c>
      <c r="K77" s="2">
        <f t="shared" si="4"/>
        <v>198</v>
      </c>
      <c r="L77">
        <v>12</v>
      </c>
      <c r="M77" t="s">
        <v>71</v>
      </c>
      <c r="N77" t="s">
        <v>120</v>
      </c>
      <c r="O77" t="s">
        <v>24</v>
      </c>
      <c r="P77" t="str">
        <f t="shared" si="5"/>
        <v>REORDER</v>
      </c>
    </row>
    <row r="78" spans="1:16" x14ac:dyDescent="0.25">
      <c r="A78" t="s">
        <v>230</v>
      </c>
      <c r="B78" t="s">
        <v>231</v>
      </c>
      <c r="C78" t="s">
        <v>70</v>
      </c>
      <c r="G78"/>
      <c r="H78" s="2">
        <v>22</v>
      </c>
      <c r="I78" s="2">
        <v>46</v>
      </c>
      <c r="J78" s="3">
        <v>30</v>
      </c>
      <c r="K78" s="2">
        <f t="shared" si="4"/>
        <v>660</v>
      </c>
      <c r="L78">
        <v>8</v>
      </c>
      <c r="M78" t="s">
        <v>75</v>
      </c>
      <c r="N78" t="s">
        <v>124</v>
      </c>
      <c r="O78" t="s">
        <v>24</v>
      </c>
      <c r="P78" t="str">
        <f t="shared" si="5"/>
        <v>OK</v>
      </c>
    </row>
    <row r="79" spans="1:16" x14ac:dyDescent="0.25">
      <c r="A79" t="s">
        <v>993</v>
      </c>
      <c r="B79" t="s">
        <v>232</v>
      </c>
      <c r="C79" t="s">
        <v>70</v>
      </c>
      <c r="G79"/>
      <c r="H79" s="2">
        <v>22</v>
      </c>
      <c r="I79" s="2">
        <v>46</v>
      </c>
      <c r="J79" s="3">
        <v>47</v>
      </c>
      <c r="K79" s="2">
        <f t="shared" si="4"/>
        <v>1034</v>
      </c>
      <c r="L79">
        <v>5</v>
      </c>
      <c r="M79" t="s">
        <v>79</v>
      </c>
      <c r="N79" t="s">
        <v>128</v>
      </c>
      <c r="O79" t="s">
        <v>24</v>
      </c>
      <c r="P79" t="str">
        <f t="shared" si="5"/>
        <v>OK</v>
      </c>
    </row>
    <row r="80" spans="1:16" x14ac:dyDescent="0.25">
      <c r="A80" t="s">
        <v>233</v>
      </c>
      <c r="B80" t="s">
        <v>234</v>
      </c>
      <c r="C80" t="s">
        <v>70</v>
      </c>
      <c r="G80"/>
      <c r="H80" s="2">
        <v>22</v>
      </c>
      <c r="I80" s="2">
        <v>46</v>
      </c>
      <c r="J80" s="3">
        <v>39</v>
      </c>
      <c r="K80" s="2">
        <f t="shared" si="4"/>
        <v>858</v>
      </c>
      <c r="L80">
        <v>5</v>
      </c>
      <c r="M80" t="s">
        <v>83</v>
      </c>
      <c r="N80" t="s">
        <v>132</v>
      </c>
      <c r="O80" t="s">
        <v>24</v>
      </c>
      <c r="P80" t="str">
        <f t="shared" si="5"/>
        <v>OK</v>
      </c>
    </row>
    <row r="81" spans="1:16" x14ac:dyDescent="0.25">
      <c r="A81" t="s">
        <v>235</v>
      </c>
      <c r="B81" t="s">
        <v>236</v>
      </c>
      <c r="C81" t="s">
        <v>70</v>
      </c>
      <c r="G81"/>
      <c r="H81" s="2">
        <v>22</v>
      </c>
      <c r="I81" s="2">
        <v>46</v>
      </c>
      <c r="J81" s="3">
        <v>21</v>
      </c>
      <c r="K81" s="2">
        <f t="shared" si="4"/>
        <v>462</v>
      </c>
      <c r="L81">
        <v>10</v>
      </c>
      <c r="M81" t="s">
        <v>87</v>
      </c>
      <c r="N81" t="s">
        <v>136</v>
      </c>
      <c r="O81" t="s">
        <v>24</v>
      </c>
      <c r="P81" t="str">
        <f t="shared" si="5"/>
        <v>OK</v>
      </c>
    </row>
    <row r="82" spans="1:16" x14ac:dyDescent="0.25">
      <c r="A82" t="s">
        <v>994</v>
      </c>
      <c r="B82" t="s">
        <v>237</v>
      </c>
      <c r="C82" t="s">
        <v>70</v>
      </c>
      <c r="G82"/>
      <c r="H82" s="2">
        <v>22</v>
      </c>
      <c r="I82" s="2">
        <v>46</v>
      </c>
      <c r="J82" s="3">
        <v>16</v>
      </c>
      <c r="K82" s="2">
        <f t="shared" si="4"/>
        <v>352</v>
      </c>
      <c r="L82">
        <v>8</v>
      </c>
      <c r="M82" t="s">
        <v>91</v>
      </c>
      <c r="N82" t="s">
        <v>139</v>
      </c>
      <c r="O82" t="s">
        <v>24</v>
      </c>
      <c r="P82" t="str">
        <f t="shared" si="5"/>
        <v>OK</v>
      </c>
    </row>
    <row r="83" spans="1:16" x14ac:dyDescent="0.25">
      <c r="A83" t="s">
        <v>238</v>
      </c>
      <c r="B83" t="s">
        <v>239</v>
      </c>
      <c r="C83" t="s">
        <v>70</v>
      </c>
      <c r="G83"/>
      <c r="H83" s="2">
        <v>23</v>
      </c>
      <c r="I83" s="2">
        <v>48</v>
      </c>
      <c r="J83" s="3">
        <v>33</v>
      </c>
      <c r="K83" s="2">
        <f t="shared" si="4"/>
        <v>759</v>
      </c>
      <c r="L83">
        <v>12</v>
      </c>
      <c r="M83" t="s">
        <v>95</v>
      </c>
      <c r="N83" t="s">
        <v>143</v>
      </c>
      <c r="O83" t="s">
        <v>24</v>
      </c>
      <c r="P83" t="str">
        <f t="shared" si="5"/>
        <v>OK</v>
      </c>
    </row>
    <row r="84" spans="1:16" x14ac:dyDescent="0.25">
      <c r="A84" t="s">
        <v>240</v>
      </c>
      <c r="B84" t="s">
        <v>241</v>
      </c>
      <c r="C84" t="s">
        <v>70</v>
      </c>
      <c r="G84"/>
      <c r="H84" s="2">
        <v>23</v>
      </c>
      <c r="I84" s="2">
        <v>48</v>
      </c>
      <c r="J84" s="3">
        <v>39</v>
      </c>
      <c r="K84" s="2">
        <f t="shared" si="4"/>
        <v>897</v>
      </c>
      <c r="L84">
        <v>5</v>
      </c>
      <c r="M84" t="s">
        <v>99</v>
      </c>
      <c r="N84" t="s">
        <v>147</v>
      </c>
      <c r="O84" t="s">
        <v>24</v>
      </c>
      <c r="P84" t="str">
        <f t="shared" si="5"/>
        <v>OK</v>
      </c>
    </row>
    <row r="85" spans="1:16" x14ac:dyDescent="0.25">
      <c r="A85" t="s">
        <v>242</v>
      </c>
      <c r="B85" t="s">
        <v>243</v>
      </c>
      <c r="C85" t="s">
        <v>70</v>
      </c>
      <c r="G85"/>
      <c r="H85" s="2">
        <v>23</v>
      </c>
      <c r="I85" s="2">
        <v>48</v>
      </c>
      <c r="J85" s="3">
        <v>18</v>
      </c>
      <c r="K85" s="2">
        <f t="shared" si="4"/>
        <v>414</v>
      </c>
      <c r="L85">
        <v>12</v>
      </c>
      <c r="M85" t="s">
        <v>103</v>
      </c>
      <c r="N85" t="s">
        <v>150</v>
      </c>
      <c r="O85" t="s">
        <v>24</v>
      </c>
      <c r="P85" t="str">
        <f t="shared" si="5"/>
        <v>OK</v>
      </c>
    </row>
    <row r="86" spans="1:16" x14ac:dyDescent="0.25">
      <c r="A86" t="s">
        <v>244</v>
      </c>
      <c r="B86" t="s">
        <v>245</v>
      </c>
      <c r="C86" t="s">
        <v>70</v>
      </c>
      <c r="G86"/>
      <c r="H86" s="2">
        <v>23</v>
      </c>
      <c r="I86" s="2">
        <v>48</v>
      </c>
      <c r="J86" s="3">
        <v>33</v>
      </c>
      <c r="K86" s="2">
        <f t="shared" si="4"/>
        <v>759</v>
      </c>
      <c r="L86">
        <v>15</v>
      </c>
      <c r="M86" t="s">
        <v>107</v>
      </c>
      <c r="N86" t="s">
        <v>153</v>
      </c>
      <c r="O86" t="s">
        <v>24</v>
      </c>
      <c r="P86" t="str">
        <f t="shared" si="5"/>
        <v>OK</v>
      </c>
    </row>
    <row r="87" spans="1:16" x14ac:dyDescent="0.25">
      <c r="A87" t="s">
        <v>246</v>
      </c>
      <c r="B87" t="s">
        <v>247</v>
      </c>
      <c r="C87" t="s">
        <v>70</v>
      </c>
      <c r="G87"/>
      <c r="H87" s="2">
        <v>23</v>
      </c>
      <c r="I87" s="2">
        <v>48</v>
      </c>
      <c r="J87" s="3">
        <v>25</v>
      </c>
      <c r="K87" s="2">
        <f t="shared" si="4"/>
        <v>575</v>
      </c>
      <c r="L87">
        <v>8</v>
      </c>
      <c r="M87" t="s">
        <v>111</v>
      </c>
      <c r="N87" t="s">
        <v>156</v>
      </c>
      <c r="O87" t="s">
        <v>24</v>
      </c>
      <c r="P87" t="str">
        <f t="shared" si="5"/>
        <v>OK</v>
      </c>
    </row>
    <row r="88" spans="1:16" x14ac:dyDescent="0.25">
      <c r="A88" t="s">
        <v>248</v>
      </c>
      <c r="B88" t="s">
        <v>249</v>
      </c>
      <c r="C88" t="s">
        <v>70</v>
      </c>
      <c r="G88"/>
      <c r="H88" s="2">
        <v>23</v>
      </c>
      <c r="I88" s="2">
        <v>48</v>
      </c>
      <c r="J88" s="3">
        <v>60</v>
      </c>
      <c r="K88" s="2">
        <f t="shared" si="4"/>
        <v>1380</v>
      </c>
      <c r="L88">
        <v>12</v>
      </c>
      <c r="M88" t="s">
        <v>115</v>
      </c>
      <c r="N88" t="s">
        <v>159</v>
      </c>
      <c r="O88" t="s">
        <v>24</v>
      </c>
      <c r="P88" t="str">
        <f t="shared" si="5"/>
        <v>OK</v>
      </c>
    </row>
    <row r="89" spans="1:16" x14ac:dyDescent="0.25">
      <c r="A89" t="s">
        <v>250</v>
      </c>
      <c r="B89" t="s">
        <v>251</v>
      </c>
      <c r="C89" t="s">
        <v>70</v>
      </c>
      <c r="G89"/>
      <c r="H89" s="2">
        <v>5</v>
      </c>
      <c r="I89" s="2">
        <v>14</v>
      </c>
      <c r="J89" s="3">
        <v>43</v>
      </c>
      <c r="K89" s="2">
        <f t="shared" si="4"/>
        <v>215</v>
      </c>
      <c r="L89">
        <v>10</v>
      </c>
      <c r="M89" t="s">
        <v>119</v>
      </c>
      <c r="N89" t="s">
        <v>72</v>
      </c>
      <c r="O89" t="s">
        <v>24</v>
      </c>
      <c r="P89" t="str">
        <f t="shared" si="5"/>
        <v>OK</v>
      </c>
    </row>
    <row r="90" spans="1:16" x14ac:dyDescent="0.25">
      <c r="A90" t="s">
        <v>252</v>
      </c>
      <c r="B90" t="s">
        <v>253</v>
      </c>
      <c r="C90" t="s">
        <v>70</v>
      </c>
      <c r="G90"/>
      <c r="H90" s="2">
        <v>5</v>
      </c>
      <c r="I90" s="2">
        <v>14</v>
      </c>
      <c r="J90" s="3">
        <v>53</v>
      </c>
      <c r="K90" s="2">
        <f t="shared" si="4"/>
        <v>265</v>
      </c>
      <c r="L90">
        <v>12</v>
      </c>
      <c r="M90" t="s">
        <v>123</v>
      </c>
      <c r="N90" t="s">
        <v>76</v>
      </c>
      <c r="O90" t="s">
        <v>24</v>
      </c>
      <c r="P90" t="str">
        <f t="shared" si="5"/>
        <v>OK</v>
      </c>
    </row>
    <row r="91" spans="1:16" x14ac:dyDescent="0.25">
      <c r="A91" t="s">
        <v>995</v>
      </c>
      <c r="B91" t="s">
        <v>254</v>
      </c>
      <c r="C91" t="s">
        <v>70</v>
      </c>
      <c r="G91"/>
      <c r="H91" s="2">
        <v>5</v>
      </c>
      <c r="I91" s="2">
        <v>14</v>
      </c>
      <c r="J91" s="3">
        <v>30</v>
      </c>
      <c r="K91" s="2">
        <f t="shared" si="4"/>
        <v>150</v>
      </c>
      <c r="L91">
        <v>12</v>
      </c>
      <c r="M91" t="s">
        <v>127</v>
      </c>
      <c r="N91" t="s">
        <v>80</v>
      </c>
      <c r="O91" t="s">
        <v>24</v>
      </c>
      <c r="P91" t="str">
        <f t="shared" si="5"/>
        <v>OK</v>
      </c>
    </row>
    <row r="92" spans="1:16" x14ac:dyDescent="0.25">
      <c r="A92" t="s">
        <v>255</v>
      </c>
      <c r="B92" t="s">
        <v>256</v>
      </c>
      <c r="C92" t="s">
        <v>70</v>
      </c>
      <c r="G92"/>
      <c r="H92" s="2">
        <v>5</v>
      </c>
      <c r="I92" s="2">
        <v>14</v>
      </c>
      <c r="J92" s="3">
        <v>22</v>
      </c>
      <c r="K92" s="2">
        <f t="shared" si="4"/>
        <v>110</v>
      </c>
      <c r="L92">
        <v>8</v>
      </c>
      <c r="M92" t="s">
        <v>131</v>
      </c>
      <c r="N92" t="s">
        <v>84</v>
      </c>
      <c r="O92" t="s">
        <v>24</v>
      </c>
      <c r="P92" t="str">
        <f t="shared" si="5"/>
        <v>OK</v>
      </c>
    </row>
    <row r="93" spans="1:16" x14ac:dyDescent="0.25">
      <c r="A93" t="s">
        <v>257</v>
      </c>
      <c r="B93" t="s">
        <v>258</v>
      </c>
      <c r="C93" t="s">
        <v>70</v>
      </c>
      <c r="G93"/>
      <c r="H93" s="2">
        <v>5</v>
      </c>
      <c r="I93" s="2">
        <v>14</v>
      </c>
      <c r="J93" s="3">
        <v>13</v>
      </c>
      <c r="K93" s="2">
        <f t="shared" si="4"/>
        <v>65</v>
      </c>
      <c r="L93">
        <v>8</v>
      </c>
      <c r="M93" t="s">
        <v>135</v>
      </c>
      <c r="N93" t="s">
        <v>88</v>
      </c>
      <c r="O93" t="s">
        <v>24</v>
      </c>
      <c r="P93" t="str">
        <f t="shared" si="5"/>
        <v>OK</v>
      </c>
    </row>
    <row r="94" spans="1:16" x14ac:dyDescent="0.25">
      <c r="A94" t="s">
        <v>996</v>
      </c>
      <c r="B94" t="s">
        <v>259</v>
      </c>
      <c r="C94" t="s">
        <v>70</v>
      </c>
      <c r="G94"/>
      <c r="H94" s="2">
        <v>5</v>
      </c>
      <c r="I94" s="2">
        <v>14</v>
      </c>
      <c r="J94" s="3">
        <v>17</v>
      </c>
      <c r="K94" s="2">
        <f t="shared" si="4"/>
        <v>85</v>
      </c>
      <c r="L94">
        <v>8</v>
      </c>
      <c r="M94" t="s">
        <v>138</v>
      </c>
      <c r="N94" t="s">
        <v>92</v>
      </c>
      <c r="O94" t="s">
        <v>24</v>
      </c>
      <c r="P94" t="str">
        <f t="shared" si="5"/>
        <v>OK</v>
      </c>
    </row>
    <row r="95" spans="1:16" x14ac:dyDescent="0.25">
      <c r="A95" t="s">
        <v>260</v>
      </c>
      <c r="B95" t="s">
        <v>261</v>
      </c>
      <c r="C95" t="s">
        <v>70</v>
      </c>
      <c r="G95"/>
      <c r="H95" s="2">
        <v>6</v>
      </c>
      <c r="I95" s="2">
        <v>16</v>
      </c>
      <c r="J95" s="3">
        <v>50</v>
      </c>
      <c r="K95" s="2">
        <f t="shared" si="4"/>
        <v>300</v>
      </c>
      <c r="L95">
        <v>8</v>
      </c>
      <c r="M95" t="s">
        <v>142</v>
      </c>
      <c r="N95" t="s">
        <v>96</v>
      </c>
      <c r="O95" t="s">
        <v>24</v>
      </c>
      <c r="P95" t="str">
        <f t="shared" si="5"/>
        <v>OK</v>
      </c>
    </row>
    <row r="96" spans="1:16" x14ac:dyDescent="0.25">
      <c r="A96" t="s">
        <v>262</v>
      </c>
      <c r="B96" t="s">
        <v>263</v>
      </c>
      <c r="C96" t="s">
        <v>70</v>
      </c>
      <c r="G96"/>
      <c r="H96" s="2">
        <v>6</v>
      </c>
      <c r="I96" s="2">
        <v>16</v>
      </c>
      <c r="J96" s="3">
        <v>8</v>
      </c>
      <c r="K96" s="2">
        <f t="shared" si="4"/>
        <v>48</v>
      </c>
      <c r="L96">
        <v>12</v>
      </c>
      <c r="M96" t="s">
        <v>146</v>
      </c>
      <c r="N96" t="s">
        <v>100</v>
      </c>
      <c r="O96" t="s">
        <v>24</v>
      </c>
      <c r="P96" t="str">
        <f t="shared" si="5"/>
        <v>REORDER</v>
      </c>
    </row>
    <row r="97" spans="1:16" x14ac:dyDescent="0.25">
      <c r="A97" t="s">
        <v>264</v>
      </c>
      <c r="B97" t="s">
        <v>265</v>
      </c>
      <c r="C97" t="s">
        <v>70</v>
      </c>
      <c r="G97"/>
      <c r="H97" s="2">
        <v>6</v>
      </c>
      <c r="I97" s="2">
        <v>16</v>
      </c>
      <c r="J97" s="3">
        <v>45</v>
      </c>
      <c r="K97" s="2">
        <f t="shared" si="4"/>
        <v>270</v>
      </c>
      <c r="L97">
        <v>8</v>
      </c>
      <c r="M97" t="s">
        <v>71</v>
      </c>
      <c r="N97" t="s">
        <v>104</v>
      </c>
      <c r="O97" t="s">
        <v>24</v>
      </c>
      <c r="P97" t="str">
        <f t="shared" si="5"/>
        <v>OK</v>
      </c>
    </row>
    <row r="98" spans="1:16" x14ac:dyDescent="0.25">
      <c r="A98" t="s">
        <v>266</v>
      </c>
      <c r="B98" t="s">
        <v>267</v>
      </c>
      <c r="C98" t="s">
        <v>70</v>
      </c>
      <c r="G98"/>
      <c r="H98" s="2">
        <v>6</v>
      </c>
      <c r="I98" s="2">
        <v>16</v>
      </c>
      <c r="J98" s="3">
        <v>24</v>
      </c>
      <c r="K98" s="2">
        <f t="shared" ref="K98:K129" si="6">H98 * J98</f>
        <v>144</v>
      </c>
      <c r="L98">
        <v>10</v>
      </c>
      <c r="M98" t="s">
        <v>75</v>
      </c>
      <c r="N98" t="s">
        <v>108</v>
      </c>
      <c r="O98" t="s">
        <v>24</v>
      </c>
      <c r="P98" t="str">
        <f t="shared" ref="P98:P129" si="7">IF(J98&lt;=L98,"REORDER","OK")</f>
        <v>OK</v>
      </c>
    </row>
    <row r="99" spans="1:16" x14ac:dyDescent="0.25">
      <c r="A99" t="s">
        <v>268</v>
      </c>
      <c r="B99" t="s">
        <v>269</v>
      </c>
      <c r="C99" t="s">
        <v>70</v>
      </c>
      <c r="G99"/>
      <c r="H99" s="2">
        <v>6</v>
      </c>
      <c r="I99" s="2">
        <v>16</v>
      </c>
      <c r="J99" s="3">
        <v>8</v>
      </c>
      <c r="K99" s="2">
        <f t="shared" si="6"/>
        <v>48</v>
      </c>
      <c r="L99">
        <v>8</v>
      </c>
      <c r="M99" t="s">
        <v>79</v>
      </c>
      <c r="N99" t="s">
        <v>112</v>
      </c>
      <c r="O99" t="s">
        <v>24</v>
      </c>
      <c r="P99" t="str">
        <f t="shared" si="7"/>
        <v>REORDER</v>
      </c>
    </row>
    <row r="100" spans="1:16" x14ac:dyDescent="0.25">
      <c r="A100" t="s">
        <v>270</v>
      </c>
      <c r="B100" t="s">
        <v>271</v>
      </c>
      <c r="C100" t="s">
        <v>70</v>
      </c>
      <c r="G100"/>
      <c r="H100" s="2">
        <v>6</v>
      </c>
      <c r="I100" s="2">
        <v>16</v>
      </c>
      <c r="J100" s="3">
        <v>34</v>
      </c>
      <c r="K100" s="2">
        <f t="shared" si="6"/>
        <v>204</v>
      </c>
      <c r="L100">
        <v>15</v>
      </c>
      <c r="M100" t="s">
        <v>83</v>
      </c>
      <c r="N100" t="s">
        <v>116</v>
      </c>
      <c r="O100" t="s">
        <v>24</v>
      </c>
      <c r="P100" t="str">
        <f t="shared" si="7"/>
        <v>OK</v>
      </c>
    </row>
    <row r="101" spans="1:16" x14ac:dyDescent="0.25">
      <c r="A101" t="s">
        <v>272</v>
      </c>
      <c r="B101" t="s">
        <v>273</v>
      </c>
      <c r="C101" t="s">
        <v>70</v>
      </c>
      <c r="G101"/>
      <c r="H101" s="2">
        <v>14</v>
      </c>
      <c r="I101" s="2">
        <v>32</v>
      </c>
      <c r="J101" s="3">
        <v>31</v>
      </c>
      <c r="K101" s="2">
        <f t="shared" si="6"/>
        <v>434</v>
      </c>
      <c r="L101">
        <v>15</v>
      </c>
      <c r="M101" t="s">
        <v>87</v>
      </c>
      <c r="N101" t="s">
        <v>120</v>
      </c>
      <c r="O101" t="s">
        <v>24</v>
      </c>
      <c r="P101" t="str">
        <f t="shared" si="7"/>
        <v>OK</v>
      </c>
    </row>
    <row r="102" spans="1:16" x14ac:dyDescent="0.25">
      <c r="A102" t="s">
        <v>274</v>
      </c>
      <c r="B102" t="s">
        <v>275</v>
      </c>
      <c r="C102" t="s">
        <v>70</v>
      </c>
      <c r="G102"/>
      <c r="H102" s="2">
        <v>14</v>
      </c>
      <c r="I102" s="2">
        <v>32</v>
      </c>
      <c r="J102" s="3">
        <v>44</v>
      </c>
      <c r="K102" s="2">
        <f t="shared" si="6"/>
        <v>616</v>
      </c>
      <c r="L102">
        <v>10</v>
      </c>
      <c r="M102" t="s">
        <v>91</v>
      </c>
      <c r="N102" t="s">
        <v>124</v>
      </c>
      <c r="O102" t="s">
        <v>24</v>
      </c>
      <c r="P102" t="str">
        <f t="shared" si="7"/>
        <v>OK</v>
      </c>
    </row>
    <row r="103" spans="1:16" x14ac:dyDescent="0.25">
      <c r="A103" t="s">
        <v>997</v>
      </c>
      <c r="B103" t="s">
        <v>276</v>
      </c>
      <c r="C103" t="s">
        <v>70</v>
      </c>
      <c r="G103"/>
      <c r="H103" s="2">
        <v>14</v>
      </c>
      <c r="I103" s="2">
        <v>32</v>
      </c>
      <c r="J103" s="3">
        <v>16</v>
      </c>
      <c r="K103" s="2">
        <f t="shared" si="6"/>
        <v>224</v>
      </c>
      <c r="L103">
        <v>15</v>
      </c>
      <c r="M103" t="s">
        <v>95</v>
      </c>
      <c r="N103" t="s">
        <v>128</v>
      </c>
      <c r="O103" t="s">
        <v>24</v>
      </c>
      <c r="P103" t="str">
        <f t="shared" si="7"/>
        <v>OK</v>
      </c>
    </row>
    <row r="104" spans="1:16" x14ac:dyDescent="0.25">
      <c r="A104" t="s">
        <v>277</v>
      </c>
      <c r="B104" t="s">
        <v>278</v>
      </c>
      <c r="C104" t="s">
        <v>70</v>
      </c>
      <c r="G104"/>
      <c r="H104" s="2">
        <v>14</v>
      </c>
      <c r="I104" s="2">
        <v>32</v>
      </c>
      <c r="J104" s="3">
        <v>47</v>
      </c>
      <c r="K104" s="2">
        <f t="shared" si="6"/>
        <v>658</v>
      </c>
      <c r="L104">
        <v>5</v>
      </c>
      <c r="M104" t="s">
        <v>99</v>
      </c>
      <c r="N104" t="s">
        <v>132</v>
      </c>
      <c r="O104" t="s">
        <v>24</v>
      </c>
      <c r="P104" t="str">
        <f t="shared" si="7"/>
        <v>OK</v>
      </c>
    </row>
    <row r="105" spans="1:16" x14ac:dyDescent="0.25">
      <c r="A105" t="s">
        <v>279</v>
      </c>
      <c r="B105" t="s">
        <v>280</v>
      </c>
      <c r="C105" t="s">
        <v>70</v>
      </c>
      <c r="G105"/>
      <c r="H105" s="2">
        <v>14</v>
      </c>
      <c r="I105" s="2">
        <v>32</v>
      </c>
      <c r="J105" s="3">
        <v>37</v>
      </c>
      <c r="K105" s="2">
        <f t="shared" si="6"/>
        <v>518</v>
      </c>
      <c r="L105">
        <v>15</v>
      </c>
      <c r="M105" t="s">
        <v>103</v>
      </c>
      <c r="N105" t="s">
        <v>136</v>
      </c>
      <c r="O105" t="s">
        <v>24</v>
      </c>
      <c r="P105" t="str">
        <f t="shared" si="7"/>
        <v>OK</v>
      </c>
    </row>
    <row r="106" spans="1:16" x14ac:dyDescent="0.25">
      <c r="A106" t="s">
        <v>998</v>
      </c>
      <c r="B106" t="s">
        <v>281</v>
      </c>
      <c r="C106" t="s">
        <v>70</v>
      </c>
      <c r="G106"/>
      <c r="H106" s="2">
        <v>14</v>
      </c>
      <c r="I106" s="2">
        <v>32</v>
      </c>
      <c r="J106" s="3">
        <v>33</v>
      </c>
      <c r="K106" s="2">
        <f t="shared" si="6"/>
        <v>462</v>
      </c>
      <c r="L106">
        <v>12</v>
      </c>
      <c r="M106" t="s">
        <v>107</v>
      </c>
      <c r="N106" t="s">
        <v>139</v>
      </c>
      <c r="O106" t="s">
        <v>24</v>
      </c>
      <c r="P106" t="str">
        <f t="shared" si="7"/>
        <v>OK</v>
      </c>
    </row>
    <row r="107" spans="1:16" x14ac:dyDescent="0.25">
      <c r="A107" t="s">
        <v>282</v>
      </c>
      <c r="B107" t="s">
        <v>283</v>
      </c>
      <c r="C107" t="s">
        <v>70</v>
      </c>
      <c r="G107"/>
      <c r="H107" s="2">
        <v>15</v>
      </c>
      <c r="I107" s="2">
        <v>34</v>
      </c>
      <c r="J107" s="3">
        <v>33</v>
      </c>
      <c r="K107" s="2">
        <f t="shared" si="6"/>
        <v>495</v>
      </c>
      <c r="L107">
        <v>12</v>
      </c>
      <c r="M107" t="s">
        <v>111</v>
      </c>
      <c r="N107" t="s">
        <v>143</v>
      </c>
      <c r="O107" t="s">
        <v>24</v>
      </c>
      <c r="P107" t="str">
        <f t="shared" si="7"/>
        <v>OK</v>
      </c>
    </row>
    <row r="108" spans="1:16" x14ac:dyDescent="0.25">
      <c r="A108" t="s">
        <v>284</v>
      </c>
      <c r="B108" t="s">
        <v>285</v>
      </c>
      <c r="C108" t="s">
        <v>70</v>
      </c>
      <c r="G108"/>
      <c r="H108" s="2">
        <v>15</v>
      </c>
      <c r="I108" s="2">
        <v>34</v>
      </c>
      <c r="J108" s="3">
        <v>14</v>
      </c>
      <c r="K108" s="2">
        <f t="shared" si="6"/>
        <v>210</v>
      </c>
      <c r="L108">
        <v>12</v>
      </c>
      <c r="M108" t="s">
        <v>115</v>
      </c>
      <c r="N108" t="s">
        <v>147</v>
      </c>
      <c r="O108" t="s">
        <v>24</v>
      </c>
      <c r="P108" t="str">
        <f t="shared" si="7"/>
        <v>OK</v>
      </c>
    </row>
    <row r="109" spans="1:16" x14ac:dyDescent="0.25">
      <c r="A109" t="s">
        <v>286</v>
      </c>
      <c r="B109" t="s">
        <v>287</v>
      </c>
      <c r="C109" t="s">
        <v>70</v>
      </c>
      <c r="G109"/>
      <c r="H109" s="2">
        <v>15</v>
      </c>
      <c r="I109" s="2">
        <v>34</v>
      </c>
      <c r="J109" s="3">
        <v>48</v>
      </c>
      <c r="K109" s="2">
        <f t="shared" si="6"/>
        <v>720</v>
      </c>
      <c r="L109">
        <v>12</v>
      </c>
      <c r="M109" t="s">
        <v>119</v>
      </c>
      <c r="N109" t="s">
        <v>150</v>
      </c>
      <c r="O109" t="s">
        <v>24</v>
      </c>
      <c r="P109" t="str">
        <f t="shared" si="7"/>
        <v>OK</v>
      </c>
    </row>
    <row r="110" spans="1:16" x14ac:dyDescent="0.25">
      <c r="A110" t="s">
        <v>288</v>
      </c>
      <c r="B110" t="s">
        <v>289</v>
      </c>
      <c r="C110" t="s">
        <v>70</v>
      </c>
      <c r="G110"/>
      <c r="H110" s="2">
        <v>15</v>
      </c>
      <c r="I110" s="2">
        <v>34</v>
      </c>
      <c r="J110" s="3">
        <v>11</v>
      </c>
      <c r="K110" s="2">
        <f t="shared" si="6"/>
        <v>165</v>
      </c>
      <c r="L110">
        <v>8</v>
      </c>
      <c r="M110" t="s">
        <v>123</v>
      </c>
      <c r="N110" t="s">
        <v>153</v>
      </c>
      <c r="O110" t="s">
        <v>24</v>
      </c>
      <c r="P110" t="str">
        <f t="shared" si="7"/>
        <v>OK</v>
      </c>
    </row>
    <row r="111" spans="1:16" x14ac:dyDescent="0.25">
      <c r="A111" t="s">
        <v>290</v>
      </c>
      <c r="B111" t="s">
        <v>291</v>
      </c>
      <c r="C111" t="s">
        <v>70</v>
      </c>
      <c r="G111"/>
      <c r="H111" s="2">
        <v>15</v>
      </c>
      <c r="I111" s="2">
        <v>34</v>
      </c>
      <c r="J111" s="3">
        <v>12</v>
      </c>
      <c r="K111" s="2">
        <f t="shared" si="6"/>
        <v>180</v>
      </c>
      <c r="L111">
        <v>8</v>
      </c>
      <c r="M111" t="s">
        <v>127</v>
      </c>
      <c r="N111" t="s">
        <v>156</v>
      </c>
      <c r="O111" t="s">
        <v>24</v>
      </c>
      <c r="P111" t="str">
        <f t="shared" si="7"/>
        <v>OK</v>
      </c>
    </row>
    <row r="112" spans="1:16" x14ac:dyDescent="0.25">
      <c r="A112" t="s">
        <v>292</v>
      </c>
      <c r="B112" t="s">
        <v>293</v>
      </c>
      <c r="C112" t="s">
        <v>70</v>
      </c>
      <c r="G112"/>
      <c r="H112" s="2">
        <v>15</v>
      </c>
      <c r="I112" s="2">
        <v>34</v>
      </c>
      <c r="J112" s="3">
        <v>36</v>
      </c>
      <c r="K112" s="2">
        <f t="shared" si="6"/>
        <v>540</v>
      </c>
      <c r="L112">
        <v>8</v>
      </c>
      <c r="M112" t="s">
        <v>131</v>
      </c>
      <c r="N112" t="s">
        <v>159</v>
      </c>
      <c r="O112" t="s">
        <v>24</v>
      </c>
      <c r="P112" t="str">
        <f t="shared" si="7"/>
        <v>OK</v>
      </c>
    </row>
    <row r="113" spans="1:16" x14ac:dyDescent="0.25">
      <c r="A113" t="s">
        <v>294</v>
      </c>
      <c r="B113" t="s">
        <v>295</v>
      </c>
      <c r="C113" t="s">
        <v>70</v>
      </c>
      <c r="G113"/>
      <c r="H113" s="2">
        <v>7</v>
      </c>
      <c r="I113" s="2">
        <v>19</v>
      </c>
      <c r="J113" s="3">
        <v>15</v>
      </c>
      <c r="K113" s="2">
        <f t="shared" si="6"/>
        <v>105</v>
      </c>
      <c r="L113">
        <v>10</v>
      </c>
      <c r="M113" t="s">
        <v>135</v>
      </c>
      <c r="N113" t="s">
        <v>72</v>
      </c>
      <c r="O113" t="s">
        <v>24</v>
      </c>
      <c r="P113" t="str">
        <f t="shared" si="7"/>
        <v>OK</v>
      </c>
    </row>
    <row r="114" spans="1:16" x14ac:dyDescent="0.25">
      <c r="A114" t="s">
        <v>296</v>
      </c>
      <c r="B114" t="s">
        <v>297</v>
      </c>
      <c r="C114" t="s">
        <v>70</v>
      </c>
      <c r="G114"/>
      <c r="H114" s="2">
        <v>7</v>
      </c>
      <c r="I114" s="2">
        <v>19</v>
      </c>
      <c r="J114" s="3">
        <v>46</v>
      </c>
      <c r="K114" s="2">
        <f t="shared" si="6"/>
        <v>322</v>
      </c>
      <c r="L114">
        <v>5</v>
      </c>
      <c r="M114" t="s">
        <v>138</v>
      </c>
      <c r="N114" t="s">
        <v>76</v>
      </c>
      <c r="O114" t="s">
        <v>24</v>
      </c>
      <c r="P114" t="str">
        <f t="shared" si="7"/>
        <v>OK</v>
      </c>
    </row>
    <row r="115" spans="1:16" x14ac:dyDescent="0.25">
      <c r="A115" t="s">
        <v>999</v>
      </c>
      <c r="B115" t="s">
        <v>298</v>
      </c>
      <c r="C115" t="s">
        <v>70</v>
      </c>
      <c r="G115"/>
      <c r="H115" s="2">
        <v>7</v>
      </c>
      <c r="I115" s="2">
        <v>19</v>
      </c>
      <c r="J115" s="3">
        <v>14</v>
      </c>
      <c r="K115" s="2">
        <f t="shared" si="6"/>
        <v>98</v>
      </c>
      <c r="L115">
        <v>5</v>
      </c>
      <c r="M115" t="s">
        <v>142</v>
      </c>
      <c r="N115" t="s">
        <v>80</v>
      </c>
      <c r="O115" t="s">
        <v>24</v>
      </c>
      <c r="P115" t="str">
        <f t="shared" si="7"/>
        <v>OK</v>
      </c>
    </row>
    <row r="116" spans="1:16" x14ac:dyDescent="0.25">
      <c r="A116" t="s">
        <v>299</v>
      </c>
      <c r="B116" t="s">
        <v>300</v>
      </c>
      <c r="C116" t="s">
        <v>70</v>
      </c>
      <c r="G116"/>
      <c r="H116" s="2">
        <v>7</v>
      </c>
      <c r="I116" s="2">
        <v>19</v>
      </c>
      <c r="J116" s="3">
        <v>44</v>
      </c>
      <c r="K116" s="2">
        <f t="shared" si="6"/>
        <v>308</v>
      </c>
      <c r="L116">
        <v>8</v>
      </c>
      <c r="M116" t="s">
        <v>146</v>
      </c>
      <c r="N116" t="s">
        <v>84</v>
      </c>
      <c r="O116" t="s">
        <v>24</v>
      </c>
      <c r="P116" t="str">
        <f t="shared" si="7"/>
        <v>OK</v>
      </c>
    </row>
    <row r="117" spans="1:16" x14ac:dyDescent="0.25">
      <c r="A117" t="s">
        <v>301</v>
      </c>
      <c r="B117" t="s">
        <v>302</v>
      </c>
      <c r="C117" t="s">
        <v>70</v>
      </c>
      <c r="G117"/>
      <c r="H117" s="2">
        <v>7</v>
      </c>
      <c r="I117" s="2">
        <v>19</v>
      </c>
      <c r="J117" s="3">
        <v>42</v>
      </c>
      <c r="K117" s="2">
        <f t="shared" si="6"/>
        <v>294</v>
      </c>
      <c r="L117">
        <v>5</v>
      </c>
      <c r="M117" t="s">
        <v>71</v>
      </c>
      <c r="N117" t="s">
        <v>88</v>
      </c>
      <c r="O117" t="s">
        <v>24</v>
      </c>
      <c r="P117" t="str">
        <f t="shared" si="7"/>
        <v>OK</v>
      </c>
    </row>
    <row r="118" spans="1:16" x14ac:dyDescent="0.25">
      <c r="A118" t="s">
        <v>1000</v>
      </c>
      <c r="B118" t="s">
        <v>303</v>
      </c>
      <c r="C118" t="s">
        <v>70</v>
      </c>
      <c r="G118"/>
      <c r="H118" s="2">
        <v>7</v>
      </c>
      <c r="I118" s="2">
        <v>19</v>
      </c>
      <c r="J118" s="3">
        <v>31</v>
      </c>
      <c r="K118" s="2">
        <f t="shared" si="6"/>
        <v>217</v>
      </c>
      <c r="L118">
        <v>15</v>
      </c>
      <c r="M118" t="s">
        <v>75</v>
      </c>
      <c r="N118" t="s">
        <v>92</v>
      </c>
      <c r="O118" t="s">
        <v>24</v>
      </c>
      <c r="P118" t="str">
        <f t="shared" si="7"/>
        <v>OK</v>
      </c>
    </row>
    <row r="119" spans="1:16" x14ac:dyDescent="0.25">
      <c r="A119" t="s">
        <v>304</v>
      </c>
      <c r="B119" t="s">
        <v>305</v>
      </c>
      <c r="C119" t="s">
        <v>70</v>
      </c>
      <c r="G119"/>
      <c r="H119" s="2">
        <v>8</v>
      </c>
      <c r="I119" s="2">
        <v>21</v>
      </c>
      <c r="J119" s="3">
        <v>9</v>
      </c>
      <c r="K119" s="2">
        <f t="shared" si="6"/>
        <v>72</v>
      </c>
      <c r="L119">
        <v>5</v>
      </c>
      <c r="M119" t="s">
        <v>79</v>
      </c>
      <c r="N119" t="s">
        <v>96</v>
      </c>
      <c r="O119" t="s">
        <v>24</v>
      </c>
      <c r="P119" t="str">
        <f t="shared" si="7"/>
        <v>OK</v>
      </c>
    </row>
    <row r="120" spans="1:16" x14ac:dyDescent="0.25">
      <c r="A120" t="s">
        <v>306</v>
      </c>
      <c r="B120" t="s">
        <v>307</v>
      </c>
      <c r="C120" t="s">
        <v>70</v>
      </c>
      <c r="G120"/>
      <c r="H120" s="2">
        <v>8</v>
      </c>
      <c r="I120" s="2">
        <v>21</v>
      </c>
      <c r="J120" s="3">
        <v>21</v>
      </c>
      <c r="K120" s="2">
        <f t="shared" si="6"/>
        <v>168</v>
      </c>
      <c r="L120">
        <v>15</v>
      </c>
      <c r="M120" t="s">
        <v>83</v>
      </c>
      <c r="N120" t="s">
        <v>100</v>
      </c>
      <c r="O120" t="s">
        <v>24</v>
      </c>
      <c r="P120" t="str">
        <f t="shared" si="7"/>
        <v>OK</v>
      </c>
    </row>
    <row r="121" spans="1:16" x14ac:dyDescent="0.25">
      <c r="A121" t="s">
        <v>308</v>
      </c>
      <c r="B121" t="s">
        <v>309</v>
      </c>
      <c r="C121" t="s">
        <v>70</v>
      </c>
      <c r="G121"/>
      <c r="H121" s="2">
        <v>8</v>
      </c>
      <c r="I121" s="2">
        <v>21</v>
      </c>
      <c r="J121" s="3">
        <v>32</v>
      </c>
      <c r="K121" s="2">
        <f t="shared" si="6"/>
        <v>256</v>
      </c>
      <c r="L121">
        <v>8</v>
      </c>
      <c r="M121" t="s">
        <v>87</v>
      </c>
      <c r="N121" t="s">
        <v>104</v>
      </c>
      <c r="O121" t="s">
        <v>24</v>
      </c>
      <c r="P121" t="str">
        <f t="shared" si="7"/>
        <v>OK</v>
      </c>
    </row>
    <row r="122" spans="1:16" x14ac:dyDescent="0.25">
      <c r="A122" t="s">
        <v>310</v>
      </c>
      <c r="B122" t="s">
        <v>311</v>
      </c>
      <c r="C122" t="s">
        <v>70</v>
      </c>
      <c r="G122"/>
      <c r="H122" s="2">
        <v>8</v>
      </c>
      <c r="I122" s="2">
        <v>21</v>
      </c>
      <c r="J122" s="3">
        <v>48</v>
      </c>
      <c r="K122" s="2">
        <f t="shared" si="6"/>
        <v>384</v>
      </c>
      <c r="L122">
        <v>10</v>
      </c>
      <c r="M122" t="s">
        <v>91</v>
      </c>
      <c r="N122" t="s">
        <v>108</v>
      </c>
      <c r="O122" t="s">
        <v>24</v>
      </c>
      <c r="P122" t="str">
        <f t="shared" si="7"/>
        <v>OK</v>
      </c>
    </row>
    <row r="123" spans="1:16" x14ac:dyDescent="0.25">
      <c r="A123" t="s">
        <v>312</v>
      </c>
      <c r="B123" t="s">
        <v>313</v>
      </c>
      <c r="C123" t="s">
        <v>70</v>
      </c>
      <c r="G123"/>
      <c r="H123" s="2">
        <v>8</v>
      </c>
      <c r="I123" s="2">
        <v>21</v>
      </c>
      <c r="J123" s="3">
        <v>30</v>
      </c>
      <c r="K123" s="2">
        <f t="shared" si="6"/>
        <v>240</v>
      </c>
      <c r="L123">
        <v>15</v>
      </c>
      <c r="M123" t="s">
        <v>95</v>
      </c>
      <c r="N123" t="s">
        <v>112</v>
      </c>
      <c r="O123" t="s">
        <v>24</v>
      </c>
      <c r="P123" t="str">
        <f t="shared" si="7"/>
        <v>OK</v>
      </c>
    </row>
    <row r="124" spans="1:16" x14ac:dyDescent="0.25">
      <c r="A124" t="s">
        <v>314</v>
      </c>
      <c r="B124" t="s">
        <v>315</v>
      </c>
      <c r="C124" t="s">
        <v>70</v>
      </c>
      <c r="G124"/>
      <c r="H124" s="2">
        <v>8</v>
      </c>
      <c r="I124" s="2">
        <v>21</v>
      </c>
      <c r="J124" s="3">
        <v>31</v>
      </c>
      <c r="K124" s="2">
        <f t="shared" si="6"/>
        <v>248</v>
      </c>
      <c r="L124">
        <v>12</v>
      </c>
      <c r="M124" t="s">
        <v>99</v>
      </c>
      <c r="N124" t="s">
        <v>116</v>
      </c>
      <c r="O124" t="s">
        <v>24</v>
      </c>
      <c r="P124" t="str">
        <f t="shared" si="7"/>
        <v>OK</v>
      </c>
    </row>
    <row r="125" spans="1:16" x14ac:dyDescent="0.25">
      <c r="A125" t="s">
        <v>316</v>
      </c>
      <c r="B125" t="s">
        <v>317</v>
      </c>
      <c r="C125" t="s">
        <v>70</v>
      </c>
      <c r="G125"/>
      <c r="H125" s="2">
        <v>8</v>
      </c>
      <c r="I125" s="2">
        <v>21</v>
      </c>
      <c r="J125" s="3">
        <v>15</v>
      </c>
      <c r="K125" s="2">
        <f t="shared" si="6"/>
        <v>120</v>
      </c>
      <c r="L125">
        <v>5</v>
      </c>
      <c r="M125" t="s">
        <v>103</v>
      </c>
      <c r="N125" t="s">
        <v>120</v>
      </c>
      <c r="O125" t="s">
        <v>24</v>
      </c>
      <c r="P125" t="str">
        <f t="shared" si="7"/>
        <v>OK</v>
      </c>
    </row>
    <row r="126" spans="1:16" x14ac:dyDescent="0.25">
      <c r="A126" t="s">
        <v>318</v>
      </c>
      <c r="B126" t="s">
        <v>319</v>
      </c>
      <c r="C126" t="s">
        <v>70</v>
      </c>
      <c r="G126"/>
      <c r="H126" s="2">
        <v>8</v>
      </c>
      <c r="I126" s="2">
        <v>21</v>
      </c>
      <c r="J126" s="3">
        <v>39</v>
      </c>
      <c r="K126" s="2">
        <f t="shared" si="6"/>
        <v>312</v>
      </c>
      <c r="L126">
        <v>12</v>
      </c>
      <c r="M126" t="s">
        <v>107</v>
      </c>
      <c r="N126" t="s">
        <v>124</v>
      </c>
      <c r="O126" t="s">
        <v>24</v>
      </c>
      <c r="P126" t="str">
        <f t="shared" si="7"/>
        <v>OK</v>
      </c>
    </row>
    <row r="127" spans="1:16" x14ac:dyDescent="0.25">
      <c r="A127" t="s">
        <v>1001</v>
      </c>
      <c r="B127" t="s">
        <v>320</v>
      </c>
      <c r="C127" t="s">
        <v>70</v>
      </c>
      <c r="G127"/>
      <c r="H127" s="2">
        <v>8</v>
      </c>
      <c r="I127" s="2">
        <v>21</v>
      </c>
      <c r="J127" s="3">
        <v>38</v>
      </c>
      <c r="K127" s="2">
        <f t="shared" si="6"/>
        <v>304</v>
      </c>
      <c r="L127">
        <v>12</v>
      </c>
      <c r="M127" t="s">
        <v>111</v>
      </c>
      <c r="N127" t="s">
        <v>128</v>
      </c>
      <c r="O127" t="s">
        <v>24</v>
      </c>
      <c r="P127" t="str">
        <f t="shared" si="7"/>
        <v>OK</v>
      </c>
    </row>
    <row r="128" spans="1:16" x14ac:dyDescent="0.25">
      <c r="A128" t="s">
        <v>321</v>
      </c>
      <c r="B128" t="s">
        <v>322</v>
      </c>
      <c r="C128" t="s">
        <v>70</v>
      </c>
      <c r="G128"/>
      <c r="H128" s="2">
        <v>8</v>
      </c>
      <c r="I128" s="2">
        <v>21</v>
      </c>
      <c r="J128" s="3">
        <v>27</v>
      </c>
      <c r="K128" s="2">
        <f t="shared" si="6"/>
        <v>216</v>
      </c>
      <c r="L128">
        <v>5</v>
      </c>
      <c r="M128" t="s">
        <v>115</v>
      </c>
      <c r="N128" t="s">
        <v>132</v>
      </c>
      <c r="O128" t="s">
        <v>24</v>
      </c>
      <c r="P128" t="str">
        <f t="shared" si="7"/>
        <v>OK</v>
      </c>
    </row>
    <row r="129" spans="1:16" x14ac:dyDescent="0.25">
      <c r="A129" t="s">
        <v>323</v>
      </c>
      <c r="B129" t="s">
        <v>324</v>
      </c>
      <c r="C129" t="s">
        <v>70</v>
      </c>
      <c r="G129"/>
      <c r="H129" s="2">
        <v>8</v>
      </c>
      <c r="I129" s="2">
        <v>21</v>
      </c>
      <c r="J129" s="3">
        <v>17</v>
      </c>
      <c r="K129" s="2">
        <f t="shared" si="6"/>
        <v>136</v>
      </c>
      <c r="L129">
        <v>5</v>
      </c>
      <c r="M129" t="s">
        <v>119</v>
      </c>
      <c r="N129" t="s">
        <v>136</v>
      </c>
      <c r="O129" t="s">
        <v>24</v>
      </c>
      <c r="P129" t="str">
        <f t="shared" si="7"/>
        <v>OK</v>
      </c>
    </row>
    <row r="130" spans="1:16" x14ac:dyDescent="0.25">
      <c r="A130" t="s">
        <v>1002</v>
      </c>
      <c r="B130" t="s">
        <v>325</v>
      </c>
      <c r="C130" t="s">
        <v>70</v>
      </c>
      <c r="G130"/>
      <c r="H130" s="2">
        <v>8</v>
      </c>
      <c r="I130" s="2">
        <v>21</v>
      </c>
      <c r="J130" s="3">
        <v>55</v>
      </c>
      <c r="K130" s="2">
        <f t="shared" ref="K130:K136" si="8">H130 * J130</f>
        <v>440</v>
      </c>
      <c r="L130">
        <v>10</v>
      </c>
      <c r="M130" t="s">
        <v>123</v>
      </c>
      <c r="N130" t="s">
        <v>139</v>
      </c>
      <c r="O130" t="s">
        <v>24</v>
      </c>
      <c r="P130" t="str">
        <f t="shared" ref="P130:P137" si="9">IF(J130&lt;=L130,"REORDER","OK")</f>
        <v>OK</v>
      </c>
    </row>
    <row r="131" spans="1:16" x14ac:dyDescent="0.25">
      <c r="A131" t="s">
        <v>326</v>
      </c>
      <c r="B131" t="s">
        <v>327</v>
      </c>
      <c r="C131" t="s">
        <v>70</v>
      </c>
      <c r="G131"/>
      <c r="H131" s="2">
        <v>9</v>
      </c>
      <c r="I131" s="2">
        <v>23</v>
      </c>
      <c r="J131" s="3">
        <v>55</v>
      </c>
      <c r="K131" s="2">
        <f t="shared" si="8"/>
        <v>495</v>
      </c>
      <c r="L131">
        <v>10</v>
      </c>
      <c r="M131" t="s">
        <v>127</v>
      </c>
      <c r="N131" t="s">
        <v>143</v>
      </c>
      <c r="O131" t="s">
        <v>24</v>
      </c>
      <c r="P131" t="str">
        <f t="shared" si="9"/>
        <v>OK</v>
      </c>
    </row>
    <row r="132" spans="1:16" x14ac:dyDescent="0.25">
      <c r="A132" t="s">
        <v>328</v>
      </c>
      <c r="B132" t="s">
        <v>329</v>
      </c>
      <c r="C132" t="s">
        <v>70</v>
      </c>
      <c r="G132"/>
      <c r="H132" s="2">
        <v>9</v>
      </c>
      <c r="I132" s="2">
        <v>23</v>
      </c>
      <c r="J132" s="3">
        <v>38</v>
      </c>
      <c r="K132" s="2">
        <f t="shared" si="8"/>
        <v>342</v>
      </c>
      <c r="L132">
        <v>8</v>
      </c>
      <c r="M132" t="s">
        <v>131</v>
      </c>
      <c r="N132" t="s">
        <v>147</v>
      </c>
      <c r="O132" t="s">
        <v>24</v>
      </c>
      <c r="P132" t="str">
        <f t="shared" si="9"/>
        <v>OK</v>
      </c>
    </row>
    <row r="133" spans="1:16" x14ac:dyDescent="0.25">
      <c r="A133" t="s">
        <v>330</v>
      </c>
      <c r="B133" t="s">
        <v>331</v>
      </c>
      <c r="C133" t="s">
        <v>70</v>
      </c>
      <c r="G133"/>
      <c r="H133" s="2">
        <v>9</v>
      </c>
      <c r="I133" s="2">
        <v>23</v>
      </c>
      <c r="J133" s="3">
        <v>41</v>
      </c>
      <c r="K133" s="2">
        <f t="shared" si="8"/>
        <v>369</v>
      </c>
      <c r="L133">
        <v>5</v>
      </c>
      <c r="M133" t="s">
        <v>135</v>
      </c>
      <c r="N133" t="s">
        <v>150</v>
      </c>
      <c r="O133" t="s">
        <v>24</v>
      </c>
      <c r="P133" t="str">
        <f t="shared" si="9"/>
        <v>OK</v>
      </c>
    </row>
    <row r="134" spans="1:16" x14ac:dyDescent="0.25">
      <c r="A134" t="s">
        <v>332</v>
      </c>
      <c r="B134" t="s">
        <v>333</v>
      </c>
      <c r="C134" t="s">
        <v>70</v>
      </c>
      <c r="G134"/>
      <c r="H134" s="2">
        <v>9</v>
      </c>
      <c r="I134" s="2">
        <v>23</v>
      </c>
      <c r="J134" s="3">
        <v>21</v>
      </c>
      <c r="K134" s="2">
        <f t="shared" si="8"/>
        <v>189</v>
      </c>
      <c r="L134">
        <v>15</v>
      </c>
      <c r="M134" t="s">
        <v>138</v>
      </c>
      <c r="N134" t="s">
        <v>153</v>
      </c>
      <c r="O134" t="s">
        <v>24</v>
      </c>
      <c r="P134" t="str">
        <f t="shared" si="9"/>
        <v>OK</v>
      </c>
    </row>
    <row r="135" spans="1:16" x14ac:dyDescent="0.25">
      <c r="A135" t="s">
        <v>334</v>
      </c>
      <c r="B135" t="s">
        <v>335</v>
      </c>
      <c r="C135" t="s">
        <v>70</v>
      </c>
      <c r="G135"/>
      <c r="H135" s="2">
        <v>9</v>
      </c>
      <c r="I135" s="2">
        <v>23</v>
      </c>
      <c r="J135" s="3">
        <v>31</v>
      </c>
      <c r="K135" s="2">
        <f t="shared" si="8"/>
        <v>279</v>
      </c>
      <c r="L135">
        <v>8</v>
      </c>
      <c r="M135" t="s">
        <v>142</v>
      </c>
      <c r="N135" t="s">
        <v>156</v>
      </c>
      <c r="O135" t="s">
        <v>24</v>
      </c>
      <c r="P135" t="str">
        <f t="shared" si="9"/>
        <v>OK</v>
      </c>
    </row>
    <row r="136" spans="1:16" x14ac:dyDescent="0.25">
      <c r="A136" t="s">
        <v>336</v>
      </c>
      <c r="B136" t="s">
        <v>337</v>
      </c>
      <c r="C136" t="s">
        <v>70</v>
      </c>
      <c r="G136"/>
      <c r="H136" s="2">
        <v>9</v>
      </c>
      <c r="I136" s="2">
        <v>23</v>
      </c>
      <c r="J136" s="3">
        <v>52</v>
      </c>
      <c r="K136" s="2">
        <f t="shared" si="8"/>
        <v>468</v>
      </c>
      <c r="L136">
        <v>15</v>
      </c>
      <c r="M136" t="s">
        <v>146</v>
      </c>
      <c r="N136" t="s">
        <v>159</v>
      </c>
      <c r="O136" t="s">
        <v>24</v>
      </c>
      <c r="P136" t="str">
        <f t="shared" si="9"/>
        <v>OK</v>
      </c>
    </row>
    <row r="137" spans="1:16" x14ac:dyDescent="0.25">
      <c r="A137" t="s">
        <v>338</v>
      </c>
      <c r="B137" t="s">
        <v>339</v>
      </c>
      <c r="C137" t="s">
        <v>70</v>
      </c>
      <c r="G137"/>
      <c r="H137">
        <v>15.5</v>
      </c>
      <c r="I137">
        <v>34</v>
      </c>
      <c r="J137" s="3">
        <v>0</v>
      </c>
      <c r="L137">
        <v>5</v>
      </c>
      <c r="M137" t="s">
        <v>340</v>
      </c>
      <c r="N137" t="s">
        <v>341</v>
      </c>
      <c r="O137" t="s">
        <v>24</v>
      </c>
      <c r="P137" t="str">
        <f t="shared" si="9"/>
        <v>REORDER</v>
      </c>
    </row>
    <row r="140" spans="1:16" x14ac:dyDescent="0.25">
      <c r="K140" s="2">
        <f>SUM(K2:K137)</f>
        <v>202473</v>
      </c>
    </row>
  </sheetData>
  <conditionalFormatting sqref="A1:A1048576">
    <cfRule type="duplicateValues" dxfId="0" priority="1"/>
  </conditionalFormatting>
  <dataValidations count="1">
    <dataValidation type="list" allowBlank="1" showInputMessage="1" showErrorMessage="1" sqref="C1:C1048576" xr:uid="{00000000-0002-0000-0300-000000000000}">
      <formula1>"E-Bike,Accessory,Service"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76"/>
  <sheetViews>
    <sheetView topLeftCell="A154" workbookViewId="0">
      <selection activeCell="F170" sqref="F170"/>
    </sheetView>
  </sheetViews>
  <sheetFormatPr defaultRowHeight="15" x14ac:dyDescent="0.25"/>
  <cols>
    <col min="1" max="1" width="9.7109375" style="10" bestFit="1" customWidth="1"/>
    <col min="2" max="2" width="11.42578125" style="1" bestFit="1" customWidth="1"/>
    <col min="3" max="4" width="14.28515625" style="10" bestFit="1" customWidth="1"/>
    <col min="5" max="5" width="19.140625" style="10" bestFit="1" customWidth="1"/>
    <col min="6" max="6" width="23.140625" bestFit="1" customWidth="1"/>
    <col min="7" max="7" width="11.42578125" style="10" bestFit="1" customWidth="1"/>
    <col min="8" max="8" width="11.5703125" style="3" bestFit="1" customWidth="1"/>
    <col min="9" max="9" width="11.42578125" style="2" bestFit="1" customWidth="1"/>
    <col min="10" max="10" width="14.7109375" style="11" bestFit="1" customWidth="1"/>
    <col min="11" max="11" width="19.7109375" style="2" bestFit="1" customWidth="1"/>
    <col min="12" max="13" width="18.140625" bestFit="1" customWidth="1"/>
    <col min="14" max="14" width="10.42578125" bestFit="1" customWidth="1"/>
  </cols>
  <sheetData>
    <row r="1" spans="1:14" x14ac:dyDescent="0.25">
      <c r="A1" s="10" t="s">
        <v>665</v>
      </c>
      <c r="B1" s="1" t="s">
        <v>666</v>
      </c>
      <c r="C1" s="10" t="s">
        <v>667</v>
      </c>
      <c r="D1" s="10" t="s">
        <v>607</v>
      </c>
      <c r="E1" s="10" t="s">
        <v>0</v>
      </c>
      <c r="F1" t="s">
        <v>1</v>
      </c>
      <c r="G1" s="10" t="s">
        <v>2</v>
      </c>
      <c r="H1" s="3" t="s">
        <v>668</v>
      </c>
      <c r="I1" s="2" t="s">
        <v>669</v>
      </c>
      <c r="J1" s="11" t="s">
        <v>670</v>
      </c>
      <c r="K1" s="2" t="s">
        <v>671</v>
      </c>
      <c r="L1" t="s">
        <v>672</v>
      </c>
      <c r="M1" t="s">
        <v>673</v>
      </c>
      <c r="N1" t="s">
        <v>14</v>
      </c>
    </row>
    <row r="2" spans="1:14" x14ac:dyDescent="0.25">
      <c r="A2" s="10" t="s">
        <v>674</v>
      </c>
      <c r="B2" s="1">
        <v>45870</v>
      </c>
      <c r="C2" s="10" t="s">
        <v>371</v>
      </c>
      <c r="D2" s="10" t="s">
        <v>647</v>
      </c>
      <c r="E2" s="10" t="s">
        <v>51</v>
      </c>
      <c r="F2" t="s">
        <v>52</v>
      </c>
      <c r="G2" s="10" t="s">
        <v>17</v>
      </c>
      <c r="H2" s="3">
        <v>1</v>
      </c>
      <c r="I2" s="2">
        <v>3095</v>
      </c>
      <c r="J2" s="11">
        <v>0</v>
      </c>
      <c r="K2" s="2">
        <f t="shared" ref="K2:K33" si="0">H2 * I2 * (1 - J2)</f>
        <v>3095</v>
      </c>
      <c r="L2" t="s">
        <v>675</v>
      </c>
      <c r="M2" t="s">
        <v>676</v>
      </c>
      <c r="N2" t="s">
        <v>677</v>
      </c>
    </row>
    <row r="3" spans="1:14" x14ac:dyDescent="0.25">
      <c r="A3" s="10" t="s">
        <v>678</v>
      </c>
      <c r="B3" s="1">
        <v>45870</v>
      </c>
      <c r="C3" s="10" t="s">
        <v>569</v>
      </c>
      <c r="D3" s="10" t="s">
        <v>626</v>
      </c>
      <c r="E3" s="10" t="s">
        <v>25</v>
      </c>
      <c r="F3" t="s">
        <v>26</v>
      </c>
      <c r="G3" s="10" t="s">
        <v>17</v>
      </c>
      <c r="H3" s="3">
        <v>1</v>
      </c>
      <c r="I3" s="2">
        <v>2243</v>
      </c>
      <c r="J3" s="11">
        <v>0.1</v>
      </c>
      <c r="K3" s="2">
        <f t="shared" si="0"/>
        <v>2018.7</v>
      </c>
      <c r="L3" t="s">
        <v>679</v>
      </c>
      <c r="M3" t="s">
        <v>680</v>
      </c>
      <c r="N3" t="s">
        <v>677</v>
      </c>
    </row>
    <row r="4" spans="1:14" x14ac:dyDescent="0.25">
      <c r="A4" s="10" t="s">
        <v>681</v>
      </c>
      <c r="B4" s="1">
        <v>45873</v>
      </c>
      <c r="C4" s="10" t="s">
        <v>494</v>
      </c>
      <c r="D4" s="10" t="s">
        <v>618</v>
      </c>
      <c r="E4" s="10" t="s">
        <v>51</v>
      </c>
      <c r="F4" t="s">
        <v>52</v>
      </c>
      <c r="G4" s="10" t="s">
        <v>17</v>
      </c>
      <c r="H4" s="3">
        <v>1</v>
      </c>
      <c r="I4" s="2">
        <v>2913</v>
      </c>
      <c r="J4" s="11">
        <v>0.1</v>
      </c>
      <c r="K4" s="2">
        <f t="shared" si="0"/>
        <v>2621.7000000000003</v>
      </c>
      <c r="L4" t="s">
        <v>675</v>
      </c>
      <c r="M4" t="s">
        <v>680</v>
      </c>
      <c r="N4" t="s">
        <v>677</v>
      </c>
    </row>
    <row r="5" spans="1:14" x14ac:dyDescent="0.25">
      <c r="A5" s="10" t="s">
        <v>682</v>
      </c>
      <c r="B5" s="1">
        <v>45874</v>
      </c>
      <c r="C5" s="10" t="s">
        <v>459</v>
      </c>
      <c r="D5" s="10" t="s">
        <v>661</v>
      </c>
      <c r="E5" s="10" t="s">
        <v>25</v>
      </c>
      <c r="F5" t="s">
        <v>26</v>
      </c>
      <c r="G5" s="10" t="s">
        <v>17</v>
      </c>
      <c r="H5" s="3">
        <v>1</v>
      </c>
      <c r="I5" s="2">
        <v>2410</v>
      </c>
      <c r="J5" s="11">
        <v>0.1</v>
      </c>
      <c r="K5" s="2">
        <f t="shared" si="0"/>
        <v>2169</v>
      </c>
      <c r="L5" t="s">
        <v>675</v>
      </c>
      <c r="M5" t="s">
        <v>680</v>
      </c>
      <c r="N5" t="s">
        <v>683</v>
      </c>
    </row>
    <row r="6" spans="1:14" x14ac:dyDescent="0.25">
      <c r="A6" s="10" t="s">
        <v>684</v>
      </c>
      <c r="B6" s="1">
        <v>45875</v>
      </c>
      <c r="C6" s="10" t="s">
        <v>342</v>
      </c>
      <c r="D6" s="10" t="s">
        <v>624</v>
      </c>
      <c r="E6" s="10" t="s">
        <v>29</v>
      </c>
      <c r="F6" t="s">
        <v>30</v>
      </c>
      <c r="G6" s="10" t="s">
        <v>17</v>
      </c>
      <c r="H6" s="3">
        <v>1</v>
      </c>
      <c r="I6" s="2">
        <v>2004</v>
      </c>
      <c r="J6" s="11">
        <v>0.1</v>
      </c>
      <c r="K6" s="2">
        <f t="shared" si="0"/>
        <v>1803.6000000000001</v>
      </c>
      <c r="L6" t="s">
        <v>679</v>
      </c>
      <c r="M6" t="s">
        <v>685</v>
      </c>
      <c r="N6" t="s">
        <v>683</v>
      </c>
    </row>
    <row r="7" spans="1:14" x14ac:dyDescent="0.25">
      <c r="A7" s="10" t="s">
        <v>686</v>
      </c>
      <c r="B7" s="1">
        <v>45875</v>
      </c>
      <c r="C7" s="10" t="s">
        <v>557</v>
      </c>
      <c r="D7" s="10" t="s">
        <v>649</v>
      </c>
      <c r="E7" s="10" t="s">
        <v>59</v>
      </c>
      <c r="F7" t="s">
        <v>60</v>
      </c>
      <c r="G7" s="10" t="s">
        <v>17</v>
      </c>
      <c r="H7" s="3">
        <v>1</v>
      </c>
      <c r="I7" s="2">
        <v>1625</v>
      </c>
      <c r="J7" s="11">
        <v>0.1</v>
      </c>
      <c r="K7" s="2">
        <f t="shared" si="0"/>
        <v>1462.5</v>
      </c>
      <c r="L7" t="s">
        <v>675</v>
      </c>
      <c r="M7" t="s">
        <v>685</v>
      </c>
      <c r="N7" t="s">
        <v>683</v>
      </c>
    </row>
    <row r="8" spans="1:14" x14ac:dyDescent="0.25">
      <c r="A8" s="10" t="s">
        <v>687</v>
      </c>
      <c r="B8" s="1">
        <v>45875</v>
      </c>
      <c r="C8" s="10" t="s">
        <v>342</v>
      </c>
      <c r="D8" s="10" t="s">
        <v>624</v>
      </c>
      <c r="E8" s="10" t="s">
        <v>206</v>
      </c>
      <c r="F8" t="s">
        <v>688</v>
      </c>
      <c r="G8" s="10" t="s">
        <v>70</v>
      </c>
      <c r="H8" s="3">
        <v>1</v>
      </c>
      <c r="I8" s="2">
        <v>89</v>
      </c>
      <c r="J8" s="11">
        <v>0.15</v>
      </c>
      <c r="K8" s="2">
        <f t="shared" si="0"/>
        <v>75.649999999999991</v>
      </c>
      <c r="L8" t="s">
        <v>679</v>
      </c>
      <c r="M8" t="s">
        <v>685</v>
      </c>
      <c r="N8" t="s">
        <v>683</v>
      </c>
    </row>
    <row r="9" spans="1:14" x14ac:dyDescent="0.25">
      <c r="A9" s="10" t="s">
        <v>689</v>
      </c>
      <c r="B9" s="1">
        <v>45875</v>
      </c>
      <c r="C9" s="10" t="s">
        <v>537</v>
      </c>
      <c r="D9" s="10" t="s">
        <v>618</v>
      </c>
      <c r="E9" s="10" t="s">
        <v>160</v>
      </c>
      <c r="F9" t="s">
        <v>690</v>
      </c>
      <c r="G9" s="10" t="s">
        <v>70</v>
      </c>
      <c r="H9" s="3">
        <v>1</v>
      </c>
      <c r="I9" s="2">
        <v>59</v>
      </c>
      <c r="J9" s="11">
        <v>0.1</v>
      </c>
      <c r="K9" s="2">
        <f t="shared" si="0"/>
        <v>53.1</v>
      </c>
      <c r="L9" t="s">
        <v>675</v>
      </c>
      <c r="M9" t="s">
        <v>691</v>
      </c>
      <c r="N9" t="s">
        <v>677</v>
      </c>
    </row>
    <row r="10" spans="1:14" x14ac:dyDescent="0.25">
      <c r="A10" s="10" t="s">
        <v>692</v>
      </c>
      <c r="B10" s="1">
        <v>45876</v>
      </c>
      <c r="C10" s="10" t="s">
        <v>523</v>
      </c>
      <c r="D10" s="10" t="s">
        <v>626</v>
      </c>
      <c r="E10" s="10" t="s">
        <v>15</v>
      </c>
      <c r="F10" t="s">
        <v>16</v>
      </c>
      <c r="G10" s="10" t="s">
        <v>17</v>
      </c>
      <c r="H10" s="3">
        <v>1</v>
      </c>
      <c r="I10" s="2">
        <v>2362</v>
      </c>
      <c r="J10" s="11">
        <v>0.1</v>
      </c>
      <c r="K10" s="2">
        <f t="shared" si="0"/>
        <v>2125.8000000000002</v>
      </c>
      <c r="L10" t="s">
        <v>693</v>
      </c>
      <c r="M10" t="s">
        <v>680</v>
      </c>
      <c r="N10" t="s">
        <v>677</v>
      </c>
    </row>
    <row r="11" spans="1:14" x14ac:dyDescent="0.25">
      <c r="A11" s="10" t="s">
        <v>694</v>
      </c>
      <c r="B11" s="1">
        <v>45877</v>
      </c>
      <c r="C11" s="10" t="s">
        <v>479</v>
      </c>
      <c r="D11" s="10" t="s">
        <v>638</v>
      </c>
      <c r="E11" s="10" t="s">
        <v>33</v>
      </c>
      <c r="F11" t="s">
        <v>34</v>
      </c>
      <c r="G11" s="10" t="s">
        <v>17</v>
      </c>
      <c r="H11" s="3">
        <v>1</v>
      </c>
      <c r="I11" s="2">
        <v>2539</v>
      </c>
      <c r="J11" s="11">
        <v>0.1</v>
      </c>
      <c r="K11" s="2">
        <f t="shared" si="0"/>
        <v>2285.1</v>
      </c>
      <c r="L11" t="s">
        <v>693</v>
      </c>
      <c r="M11" t="s">
        <v>685</v>
      </c>
      <c r="N11" t="s">
        <v>683</v>
      </c>
    </row>
    <row r="12" spans="1:14" x14ac:dyDescent="0.25">
      <c r="A12" s="10" t="s">
        <v>695</v>
      </c>
      <c r="B12" s="1">
        <v>45877</v>
      </c>
      <c r="C12" s="10" t="s">
        <v>479</v>
      </c>
      <c r="D12" s="10" t="s">
        <v>638</v>
      </c>
      <c r="E12" s="10" t="s">
        <v>183</v>
      </c>
      <c r="F12" t="s">
        <v>696</v>
      </c>
      <c r="G12" s="10" t="s">
        <v>70</v>
      </c>
      <c r="H12" s="3">
        <v>1</v>
      </c>
      <c r="I12" s="2">
        <v>27</v>
      </c>
      <c r="J12" s="11">
        <v>0.15</v>
      </c>
      <c r="K12" s="2">
        <f t="shared" si="0"/>
        <v>22.95</v>
      </c>
      <c r="L12" t="s">
        <v>693</v>
      </c>
      <c r="M12" t="s">
        <v>685</v>
      </c>
      <c r="N12" t="s">
        <v>683</v>
      </c>
    </row>
    <row r="13" spans="1:14" x14ac:dyDescent="0.25">
      <c r="A13" s="10" t="s">
        <v>697</v>
      </c>
      <c r="B13" s="1">
        <v>45880</v>
      </c>
      <c r="C13" s="10" t="s">
        <v>471</v>
      </c>
      <c r="D13" s="10" t="s">
        <v>618</v>
      </c>
      <c r="E13" s="10" t="s">
        <v>33</v>
      </c>
      <c r="F13" t="s">
        <v>34</v>
      </c>
      <c r="G13" s="10" t="s">
        <v>17</v>
      </c>
      <c r="H13" s="3">
        <v>1</v>
      </c>
      <c r="I13" s="2">
        <v>2620</v>
      </c>
      <c r="J13" s="11">
        <v>0.1</v>
      </c>
      <c r="K13" s="2">
        <f t="shared" si="0"/>
        <v>2358</v>
      </c>
      <c r="L13" t="s">
        <v>693</v>
      </c>
      <c r="M13" t="s">
        <v>680</v>
      </c>
      <c r="N13" t="s">
        <v>677</v>
      </c>
    </row>
    <row r="14" spans="1:14" x14ac:dyDescent="0.25">
      <c r="A14" s="10" t="s">
        <v>698</v>
      </c>
      <c r="B14" s="1">
        <v>45880</v>
      </c>
      <c r="C14" s="10" t="s">
        <v>471</v>
      </c>
      <c r="D14" s="10" t="s">
        <v>618</v>
      </c>
      <c r="E14" s="10" t="s">
        <v>699</v>
      </c>
      <c r="F14" t="s">
        <v>700</v>
      </c>
      <c r="G14" s="10" t="s">
        <v>70</v>
      </c>
      <c r="H14" s="3">
        <v>2</v>
      </c>
      <c r="I14" s="2">
        <v>69</v>
      </c>
      <c r="J14" s="11">
        <v>0.15</v>
      </c>
      <c r="K14" s="2">
        <f t="shared" si="0"/>
        <v>117.3</v>
      </c>
      <c r="L14" t="s">
        <v>693</v>
      </c>
      <c r="M14" t="s">
        <v>680</v>
      </c>
      <c r="N14" t="s">
        <v>677</v>
      </c>
    </row>
    <row r="15" spans="1:14" x14ac:dyDescent="0.25">
      <c r="A15" s="10" t="s">
        <v>701</v>
      </c>
      <c r="B15" s="1">
        <v>45883</v>
      </c>
      <c r="C15" s="10" t="s">
        <v>580</v>
      </c>
      <c r="D15" s="10" t="s">
        <v>638</v>
      </c>
      <c r="E15" s="10" t="s">
        <v>36</v>
      </c>
      <c r="F15" t="s">
        <v>37</v>
      </c>
      <c r="G15" s="10" t="s">
        <v>17</v>
      </c>
      <c r="H15" s="3">
        <v>1</v>
      </c>
      <c r="I15" s="2">
        <v>2497</v>
      </c>
      <c r="J15" s="11">
        <v>0.1</v>
      </c>
      <c r="K15" s="2">
        <f t="shared" si="0"/>
        <v>2247.3000000000002</v>
      </c>
      <c r="L15" t="s">
        <v>693</v>
      </c>
      <c r="M15" t="s">
        <v>685</v>
      </c>
      <c r="N15" t="s">
        <v>677</v>
      </c>
    </row>
    <row r="16" spans="1:14" x14ac:dyDescent="0.25">
      <c r="A16" s="10" t="s">
        <v>702</v>
      </c>
      <c r="B16" s="1">
        <v>45886</v>
      </c>
      <c r="C16" s="10" t="s">
        <v>533</v>
      </c>
      <c r="D16" s="10" t="s">
        <v>618</v>
      </c>
      <c r="E16" s="10" t="s">
        <v>33</v>
      </c>
      <c r="F16" t="s">
        <v>34</v>
      </c>
      <c r="G16" s="10" t="s">
        <v>17</v>
      </c>
      <c r="H16" s="3">
        <v>1</v>
      </c>
      <c r="I16" s="2">
        <v>2621</v>
      </c>
      <c r="J16" s="11">
        <v>0.1</v>
      </c>
      <c r="K16" s="2">
        <f t="shared" si="0"/>
        <v>2358.9</v>
      </c>
      <c r="L16" t="s">
        <v>679</v>
      </c>
      <c r="M16" t="s">
        <v>691</v>
      </c>
      <c r="N16" t="s">
        <v>677</v>
      </c>
    </row>
    <row r="17" spans="1:14" x14ac:dyDescent="0.25">
      <c r="A17" s="10" t="s">
        <v>703</v>
      </c>
      <c r="B17" s="1">
        <v>45888</v>
      </c>
      <c r="C17" s="10" t="s">
        <v>434</v>
      </c>
      <c r="D17" s="10" t="s">
        <v>622</v>
      </c>
      <c r="E17" s="10" t="s">
        <v>41</v>
      </c>
      <c r="F17" t="s">
        <v>42</v>
      </c>
      <c r="G17" s="10" t="s">
        <v>17</v>
      </c>
      <c r="H17" s="3">
        <v>1</v>
      </c>
      <c r="I17" s="2">
        <v>2322</v>
      </c>
      <c r="J17" s="11">
        <v>0.1</v>
      </c>
      <c r="K17" s="2">
        <f t="shared" si="0"/>
        <v>2089.8000000000002</v>
      </c>
      <c r="L17" t="s">
        <v>693</v>
      </c>
      <c r="M17" t="s">
        <v>676</v>
      </c>
      <c r="N17" t="s">
        <v>683</v>
      </c>
    </row>
    <row r="18" spans="1:14" x14ac:dyDescent="0.25">
      <c r="A18" s="10" t="s">
        <v>704</v>
      </c>
      <c r="B18" s="1">
        <v>45889</v>
      </c>
      <c r="C18" s="10" t="s">
        <v>523</v>
      </c>
      <c r="D18" s="10" t="s">
        <v>626</v>
      </c>
      <c r="E18" s="10" t="s">
        <v>51</v>
      </c>
      <c r="F18" t="s">
        <v>52</v>
      </c>
      <c r="G18" s="10" t="s">
        <v>17</v>
      </c>
      <c r="H18" s="3">
        <v>1</v>
      </c>
      <c r="I18" s="2">
        <v>2946</v>
      </c>
      <c r="J18" s="11">
        <v>0.15</v>
      </c>
      <c r="K18" s="2">
        <f t="shared" si="0"/>
        <v>2504.1</v>
      </c>
      <c r="L18" t="s">
        <v>675</v>
      </c>
      <c r="M18" t="s">
        <v>691</v>
      </c>
      <c r="N18" t="s">
        <v>705</v>
      </c>
    </row>
    <row r="19" spans="1:14" x14ac:dyDescent="0.25">
      <c r="A19" s="10" t="s">
        <v>706</v>
      </c>
      <c r="B19" s="1">
        <v>45889</v>
      </c>
      <c r="C19" s="10" t="s">
        <v>420</v>
      </c>
      <c r="D19" s="10" t="s">
        <v>658</v>
      </c>
      <c r="E19" s="10" t="s">
        <v>54</v>
      </c>
      <c r="F19" t="s">
        <v>55</v>
      </c>
      <c r="G19" s="10" t="s">
        <v>17</v>
      </c>
      <c r="H19" s="3">
        <v>1</v>
      </c>
      <c r="I19" s="2">
        <v>2695</v>
      </c>
      <c r="J19" s="11">
        <v>0</v>
      </c>
      <c r="K19" s="2">
        <f t="shared" si="0"/>
        <v>2695</v>
      </c>
      <c r="L19" t="s">
        <v>679</v>
      </c>
      <c r="M19" t="s">
        <v>685</v>
      </c>
      <c r="N19" t="s">
        <v>683</v>
      </c>
    </row>
    <row r="20" spans="1:14" x14ac:dyDescent="0.25">
      <c r="A20" s="10" t="s">
        <v>707</v>
      </c>
      <c r="B20" s="1">
        <v>45890</v>
      </c>
      <c r="C20" s="10" t="s">
        <v>434</v>
      </c>
      <c r="D20" s="10" t="s">
        <v>632</v>
      </c>
      <c r="E20" s="10" t="s">
        <v>66</v>
      </c>
      <c r="F20" t="s">
        <v>67</v>
      </c>
      <c r="G20" s="10" t="s">
        <v>17</v>
      </c>
      <c r="H20" s="3">
        <v>1</v>
      </c>
      <c r="I20" s="2">
        <v>1579</v>
      </c>
      <c r="J20" s="11">
        <v>0.15</v>
      </c>
      <c r="K20" s="2">
        <f t="shared" si="0"/>
        <v>1342.1499999999999</v>
      </c>
      <c r="L20" t="s">
        <v>675</v>
      </c>
      <c r="M20" t="s">
        <v>691</v>
      </c>
      <c r="N20" t="s">
        <v>677</v>
      </c>
    </row>
    <row r="21" spans="1:14" x14ac:dyDescent="0.25">
      <c r="A21" s="10" t="s">
        <v>708</v>
      </c>
      <c r="B21" s="1">
        <v>45890</v>
      </c>
      <c r="C21" s="10" t="s">
        <v>434</v>
      </c>
      <c r="D21" s="10" t="s">
        <v>632</v>
      </c>
      <c r="E21" s="10" t="s">
        <v>160</v>
      </c>
      <c r="F21" t="s">
        <v>690</v>
      </c>
      <c r="G21" s="10" t="s">
        <v>70</v>
      </c>
      <c r="H21" s="3">
        <v>2</v>
      </c>
      <c r="I21" s="2">
        <v>59</v>
      </c>
      <c r="J21" s="11">
        <v>0.2</v>
      </c>
      <c r="K21" s="2">
        <f t="shared" si="0"/>
        <v>94.4</v>
      </c>
      <c r="L21" t="s">
        <v>675</v>
      </c>
      <c r="M21" t="s">
        <v>691</v>
      </c>
      <c r="N21" t="s">
        <v>677</v>
      </c>
    </row>
    <row r="22" spans="1:14" x14ac:dyDescent="0.25">
      <c r="A22" s="10" t="s">
        <v>709</v>
      </c>
      <c r="B22" s="1">
        <v>45891</v>
      </c>
      <c r="C22" s="10" t="s">
        <v>494</v>
      </c>
      <c r="D22" s="10" t="s">
        <v>636</v>
      </c>
      <c r="E22" s="10" t="s">
        <v>38</v>
      </c>
      <c r="F22" t="s">
        <v>39</v>
      </c>
      <c r="G22" s="10" t="s">
        <v>17</v>
      </c>
      <c r="H22" s="3">
        <v>1</v>
      </c>
      <c r="I22" s="2">
        <v>2614</v>
      </c>
      <c r="J22" s="11">
        <v>0.15</v>
      </c>
      <c r="K22" s="2">
        <f t="shared" si="0"/>
        <v>2221.9</v>
      </c>
      <c r="L22" t="s">
        <v>679</v>
      </c>
      <c r="M22" t="s">
        <v>685</v>
      </c>
      <c r="N22" t="s">
        <v>677</v>
      </c>
    </row>
    <row r="23" spans="1:14" x14ac:dyDescent="0.25">
      <c r="A23" s="10" t="s">
        <v>710</v>
      </c>
      <c r="B23" s="1">
        <v>45891</v>
      </c>
      <c r="C23" s="10" t="s">
        <v>351</v>
      </c>
      <c r="D23" s="10" t="s">
        <v>618</v>
      </c>
      <c r="E23" s="10" t="s">
        <v>59</v>
      </c>
      <c r="F23" t="s">
        <v>60</v>
      </c>
      <c r="G23" s="10" t="s">
        <v>17</v>
      </c>
      <c r="H23" s="3">
        <v>1</v>
      </c>
      <c r="I23" s="2">
        <v>1639</v>
      </c>
      <c r="J23" s="11">
        <v>0.1</v>
      </c>
      <c r="K23" s="2">
        <f t="shared" si="0"/>
        <v>1475.1000000000001</v>
      </c>
      <c r="L23" t="s">
        <v>679</v>
      </c>
      <c r="M23" t="s">
        <v>691</v>
      </c>
      <c r="N23" t="s">
        <v>677</v>
      </c>
    </row>
    <row r="24" spans="1:14" x14ac:dyDescent="0.25">
      <c r="A24" s="10" t="s">
        <v>711</v>
      </c>
      <c r="B24" s="1">
        <v>45891</v>
      </c>
      <c r="C24" s="10" t="s">
        <v>494</v>
      </c>
      <c r="D24" s="10" t="s">
        <v>636</v>
      </c>
      <c r="E24" s="10" t="s">
        <v>712</v>
      </c>
      <c r="F24" t="s">
        <v>118</v>
      </c>
      <c r="G24" s="10" t="s">
        <v>70</v>
      </c>
      <c r="H24" s="3">
        <v>1</v>
      </c>
      <c r="I24" s="2">
        <v>49</v>
      </c>
      <c r="J24" s="11">
        <v>0.2</v>
      </c>
      <c r="K24" s="2">
        <f t="shared" si="0"/>
        <v>39.200000000000003</v>
      </c>
      <c r="L24" t="s">
        <v>679</v>
      </c>
      <c r="M24" t="s">
        <v>685</v>
      </c>
      <c r="N24" t="s">
        <v>677</v>
      </c>
    </row>
    <row r="25" spans="1:14" x14ac:dyDescent="0.25">
      <c r="A25" s="10" t="s">
        <v>713</v>
      </c>
      <c r="B25" s="1">
        <v>45893</v>
      </c>
      <c r="C25" s="10" t="s">
        <v>434</v>
      </c>
      <c r="D25" s="10" t="s">
        <v>622</v>
      </c>
      <c r="E25" s="10" t="s">
        <v>49</v>
      </c>
      <c r="F25" t="s">
        <v>50</v>
      </c>
      <c r="G25" s="10" t="s">
        <v>17</v>
      </c>
      <c r="H25" s="3">
        <v>1</v>
      </c>
      <c r="I25" s="2">
        <v>2215</v>
      </c>
      <c r="J25" s="11">
        <v>0.1</v>
      </c>
      <c r="K25" s="2">
        <f t="shared" si="0"/>
        <v>1993.5</v>
      </c>
      <c r="L25" t="s">
        <v>675</v>
      </c>
      <c r="M25" t="s">
        <v>680</v>
      </c>
      <c r="N25" t="s">
        <v>683</v>
      </c>
    </row>
    <row r="26" spans="1:14" x14ac:dyDescent="0.25">
      <c r="A26" s="10" t="s">
        <v>714</v>
      </c>
      <c r="B26" s="1">
        <v>45897</v>
      </c>
      <c r="C26" s="10" t="s">
        <v>494</v>
      </c>
      <c r="D26" s="10" t="s">
        <v>653</v>
      </c>
      <c r="E26" s="10" t="s">
        <v>64</v>
      </c>
      <c r="F26" t="s">
        <v>65</v>
      </c>
      <c r="G26" s="10" t="s">
        <v>17</v>
      </c>
      <c r="H26" s="3">
        <v>1</v>
      </c>
      <c r="I26" s="2">
        <v>1530</v>
      </c>
      <c r="J26" s="11">
        <v>0.1</v>
      </c>
      <c r="K26" s="2">
        <f t="shared" si="0"/>
        <v>1377</v>
      </c>
      <c r="L26" t="s">
        <v>675</v>
      </c>
      <c r="M26" t="s">
        <v>676</v>
      </c>
      <c r="N26" t="s">
        <v>683</v>
      </c>
    </row>
    <row r="27" spans="1:14" x14ac:dyDescent="0.25">
      <c r="A27" s="10" t="s">
        <v>715</v>
      </c>
      <c r="B27" s="1">
        <v>45901</v>
      </c>
      <c r="C27" s="10" t="s">
        <v>474</v>
      </c>
      <c r="D27" s="10" t="s">
        <v>653</v>
      </c>
      <c r="E27" s="10" t="s">
        <v>29</v>
      </c>
      <c r="F27" t="s">
        <v>30</v>
      </c>
      <c r="G27" s="10" t="s">
        <v>17</v>
      </c>
      <c r="H27" s="3">
        <v>1</v>
      </c>
      <c r="I27" s="2">
        <v>2150</v>
      </c>
      <c r="J27" s="11">
        <v>0.1</v>
      </c>
      <c r="K27" s="2">
        <f t="shared" si="0"/>
        <v>1935</v>
      </c>
      <c r="L27" t="s">
        <v>693</v>
      </c>
      <c r="M27" t="s">
        <v>685</v>
      </c>
      <c r="N27" t="s">
        <v>683</v>
      </c>
    </row>
    <row r="28" spans="1:14" x14ac:dyDescent="0.25">
      <c r="A28" s="10" t="s">
        <v>716</v>
      </c>
      <c r="B28" s="1">
        <v>45905</v>
      </c>
      <c r="C28" s="10" t="s">
        <v>576</v>
      </c>
      <c r="D28" s="10" t="s">
        <v>649</v>
      </c>
      <c r="E28" s="10" t="s">
        <v>49</v>
      </c>
      <c r="F28" t="s">
        <v>50</v>
      </c>
      <c r="G28" s="10" t="s">
        <v>17</v>
      </c>
      <c r="H28" s="3">
        <v>1</v>
      </c>
      <c r="I28" s="2">
        <v>2355</v>
      </c>
      <c r="J28" s="11">
        <v>0.1</v>
      </c>
      <c r="K28" s="2">
        <f t="shared" si="0"/>
        <v>2119.5</v>
      </c>
      <c r="L28" t="s">
        <v>675</v>
      </c>
      <c r="M28" t="s">
        <v>676</v>
      </c>
      <c r="N28" t="s">
        <v>677</v>
      </c>
    </row>
    <row r="29" spans="1:14" x14ac:dyDescent="0.25">
      <c r="A29" s="10" t="s">
        <v>717</v>
      </c>
      <c r="B29" s="1">
        <v>45906</v>
      </c>
      <c r="C29" s="10" t="s">
        <v>557</v>
      </c>
      <c r="D29" s="10" t="s">
        <v>658</v>
      </c>
      <c r="E29" s="10" t="s">
        <v>25</v>
      </c>
      <c r="F29" t="s">
        <v>26</v>
      </c>
      <c r="G29" s="10" t="s">
        <v>17</v>
      </c>
      <c r="H29" s="3">
        <v>1</v>
      </c>
      <c r="I29" s="2">
        <v>2269</v>
      </c>
      <c r="J29" s="11">
        <v>0.15</v>
      </c>
      <c r="K29" s="2">
        <f t="shared" si="0"/>
        <v>1928.6499999999999</v>
      </c>
      <c r="L29" t="s">
        <v>675</v>
      </c>
      <c r="M29" t="s">
        <v>685</v>
      </c>
      <c r="N29" t="s">
        <v>705</v>
      </c>
    </row>
    <row r="30" spans="1:14" x14ac:dyDescent="0.25">
      <c r="A30" s="10" t="s">
        <v>718</v>
      </c>
      <c r="B30" s="1">
        <v>45907</v>
      </c>
      <c r="C30" s="10" t="s">
        <v>545</v>
      </c>
      <c r="D30" s="10" t="s">
        <v>661</v>
      </c>
      <c r="E30" s="10" t="s">
        <v>49</v>
      </c>
      <c r="F30" t="s">
        <v>50</v>
      </c>
      <c r="G30" s="10" t="s">
        <v>17</v>
      </c>
      <c r="H30" s="3">
        <v>1</v>
      </c>
      <c r="I30" s="2">
        <v>2398</v>
      </c>
      <c r="J30" s="11">
        <v>0.1</v>
      </c>
      <c r="K30" s="2">
        <f t="shared" si="0"/>
        <v>2158.2000000000003</v>
      </c>
      <c r="L30" t="s">
        <v>679</v>
      </c>
      <c r="M30" t="s">
        <v>691</v>
      </c>
      <c r="N30" t="s">
        <v>677</v>
      </c>
    </row>
    <row r="31" spans="1:14" x14ac:dyDescent="0.25">
      <c r="A31" s="10" t="s">
        <v>719</v>
      </c>
      <c r="B31" s="1">
        <v>45907</v>
      </c>
      <c r="C31" s="10" t="s">
        <v>545</v>
      </c>
      <c r="D31" s="10" t="s">
        <v>661</v>
      </c>
      <c r="E31" s="10" t="s">
        <v>228</v>
      </c>
      <c r="F31" t="s">
        <v>720</v>
      </c>
      <c r="G31" s="10" t="s">
        <v>70</v>
      </c>
      <c r="H31" s="3">
        <v>3</v>
      </c>
      <c r="I31" s="2">
        <v>119</v>
      </c>
      <c r="J31" s="11">
        <v>0.15</v>
      </c>
      <c r="K31" s="2">
        <f t="shared" si="0"/>
        <v>303.45</v>
      </c>
      <c r="L31" t="s">
        <v>679</v>
      </c>
      <c r="M31" t="s">
        <v>691</v>
      </c>
      <c r="N31" t="s">
        <v>677</v>
      </c>
    </row>
    <row r="32" spans="1:14" x14ac:dyDescent="0.25">
      <c r="A32" s="10" t="s">
        <v>721</v>
      </c>
      <c r="B32" s="1">
        <v>45908</v>
      </c>
      <c r="C32" s="10" t="s">
        <v>530</v>
      </c>
      <c r="D32" s="10" t="s">
        <v>636</v>
      </c>
      <c r="E32" s="10" t="s">
        <v>51</v>
      </c>
      <c r="F32" t="s">
        <v>52</v>
      </c>
      <c r="G32" s="10" t="s">
        <v>17</v>
      </c>
      <c r="H32" s="3">
        <v>1</v>
      </c>
      <c r="I32" s="2">
        <v>3037</v>
      </c>
      <c r="J32" s="11">
        <v>0.1</v>
      </c>
      <c r="K32" s="2">
        <f t="shared" si="0"/>
        <v>2733.3</v>
      </c>
      <c r="L32" t="s">
        <v>679</v>
      </c>
      <c r="M32" t="s">
        <v>691</v>
      </c>
      <c r="N32" t="s">
        <v>683</v>
      </c>
    </row>
    <row r="33" spans="1:14" x14ac:dyDescent="0.25">
      <c r="A33" s="10" t="s">
        <v>722</v>
      </c>
      <c r="B33" s="1">
        <v>45908</v>
      </c>
      <c r="C33" s="10" t="s">
        <v>530</v>
      </c>
      <c r="D33" s="10" t="s">
        <v>636</v>
      </c>
      <c r="E33" s="10" t="s">
        <v>160</v>
      </c>
      <c r="F33" t="s">
        <v>690</v>
      </c>
      <c r="G33" s="10" t="s">
        <v>70</v>
      </c>
      <c r="H33" s="3">
        <v>1</v>
      </c>
      <c r="I33" s="2">
        <v>59</v>
      </c>
      <c r="J33" s="11">
        <v>0.15</v>
      </c>
      <c r="K33" s="2">
        <f t="shared" si="0"/>
        <v>50.15</v>
      </c>
      <c r="L33" t="s">
        <v>679</v>
      </c>
      <c r="M33" t="s">
        <v>691</v>
      </c>
      <c r="N33" t="s">
        <v>683</v>
      </c>
    </row>
    <row r="34" spans="1:14" x14ac:dyDescent="0.25">
      <c r="A34" s="10" t="s">
        <v>723</v>
      </c>
      <c r="B34" s="1">
        <v>45910</v>
      </c>
      <c r="C34" s="10" t="s">
        <v>439</v>
      </c>
      <c r="D34" s="10" t="s">
        <v>653</v>
      </c>
      <c r="E34" s="10" t="s">
        <v>46</v>
      </c>
      <c r="F34" t="s">
        <v>47</v>
      </c>
      <c r="G34" s="10" t="s">
        <v>17</v>
      </c>
      <c r="H34" s="3">
        <v>1</v>
      </c>
      <c r="I34" s="2">
        <v>2348</v>
      </c>
      <c r="J34" s="11">
        <v>0.1</v>
      </c>
      <c r="K34" s="2">
        <f t="shared" ref="K34:K65" si="1">H34 * I34 * (1 - J34)</f>
        <v>2113.2000000000003</v>
      </c>
      <c r="L34" t="s">
        <v>675</v>
      </c>
      <c r="M34" t="s">
        <v>691</v>
      </c>
      <c r="N34" t="s">
        <v>677</v>
      </c>
    </row>
    <row r="35" spans="1:14" x14ac:dyDescent="0.25">
      <c r="A35" s="10" t="s">
        <v>724</v>
      </c>
      <c r="B35" s="1">
        <v>45914</v>
      </c>
      <c r="C35" s="10" t="s">
        <v>425</v>
      </c>
      <c r="D35" s="10" t="s">
        <v>626</v>
      </c>
      <c r="E35" s="10" t="s">
        <v>57</v>
      </c>
      <c r="F35" t="s">
        <v>58</v>
      </c>
      <c r="G35" s="10" t="s">
        <v>17</v>
      </c>
      <c r="H35" s="3">
        <v>1</v>
      </c>
      <c r="I35" s="2">
        <v>2626</v>
      </c>
      <c r="J35" s="11">
        <v>0.1</v>
      </c>
      <c r="K35" s="2">
        <f t="shared" si="1"/>
        <v>2363.4</v>
      </c>
      <c r="L35" t="s">
        <v>675</v>
      </c>
      <c r="M35" t="s">
        <v>685</v>
      </c>
      <c r="N35" t="s">
        <v>705</v>
      </c>
    </row>
    <row r="36" spans="1:14" x14ac:dyDescent="0.25">
      <c r="A36" s="10" t="s">
        <v>725</v>
      </c>
      <c r="B36" s="1">
        <v>45916</v>
      </c>
      <c r="C36" s="10" t="s">
        <v>342</v>
      </c>
      <c r="D36" s="10" t="s">
        <v>638</v>
      </c>
      <c r="E36" s="10" t="s">
        <v>29</v>
      </c>
      <c r="F36" t="s">
        <v>30</v>
      </c>
      <c r="G36" s="10" t="s">
        <v>17</v>
      </c>
      <c r="H36" s="3">
        <v>1</v>
      </c>
      <c r="I36" s="2">
        <v>2191</v>
      </c>
      <c r="J36" s="11">
        <v>0.2</v>
      </c>
      <c r="K36" s="2">
        <f t="shared" si="1"/>
        <v>1752.8000000000002</v>
      </c>
      <c r="L36" t="s">
        <v>693</v>
      </c>
      <c r="M36" t="s">
        <v>685</v>
      </c>
      <c r="N36" t="s">
        <v>677</v>
      </c>
    </row>
    <row r="37" spans="1:14" x14ac:dyDescent="0.25">
      <c r="A37" s="10" t="s">
        <v>726</v>
      </c>
      <c r="B37" s="1">
        <v>45917</v>
      </c>
      <c r="C37" s="10" t="s">
        <v>533</v>
      </c>
      <c r="D37" s="10" t="s">
        <v>658</v>
      </c>
      <c r="E37" s="10" t="s">
        <v>38</v>
      </c>
      <c r="F37" t="s">
        <v>39</v>
      </c>
      <c r="G37" s="10" t="s">
        <v>17</v>
      </c>
      <c r="H37" s="3">
        <v>1</v>
      </c>
      <c r="I37" s="2">
        <v>2516</v>
      </c>
      <c r="J37" s="11">
        <v>0.15</v>
      </c>
      <c r="K37" s="2">
        <f t="shared" si="1"/>
        <v>2138.6</v>
      </c>
      <c r="L37" t="s">
        <v>675</v>
      </c>
      <c r="M37" t="s">
        <v>680</v>
      </c>
      <c r="N37" t="s">
        <v>677</v>
      </c>
    </row>
    <row r="38" spans="1:14" x14ac:dyDescent="0.25">
      <c r="A38" s="10" t="s">
        <v>727</v>
      </c>
      <c r="B38" s="1">
        <v>45917</v>
      </c>
      <c r="C38" s="10" t="s">
        <v>533</v>
      </c>
      <c r="D38" s="10" t="s">
        <v>658</v>
      </c>
      <c r="E38" s="10" t="s">
        <v>728</v>
      </c>
      <c r="F38" t="s">
        <v>98</v>
      </c>
      <c r="G38" s="10" t="s">
        <v>70</v>
      </c>
      <c r="H38" s="3">
        <v>2</v>
      </c>
      <c r="I38" s="2">
        <v>79</v>
      </c>
      <c r="J38" s="11">
        <v>0.2</v>
      </c>
      <c r="K38" s="2">
        <f t="shared" si="1"/>
        <v>126.4</v>
      </c>
      <c r="L38" t="s">
        <v>675</v>
      </c>
      <c r="M38" t="s">
        <v>680</v>
      </c>
      <c r="N38" t="s">
        <v>677</v>
      </c>
    </row>
    <row r="39" spans="1:14" x14ac:dyDescent="0.25">
      <c r="A39" s="10" t="s">
        <v>729</v>
      </c>
      <c r="B39" s="1">
        <v>45919</v>
      </c>
      <c r="C39" s="10" t="s">
        <v>454</v>
      </c>
      <c r="D39" s="10" t="s">
        <v>643</v>
      </c>
      <c r="E39" s="10" t="s">
        <v>38</v>
      </c>
      <c r="F39" t="s">
        <v>39</v>
      </c>
      <c r="G39" s="10" t="s">
        <v>17</v>
      </c>
      <c r="H39" s="3">
        <v>1</v>
      </c>
      <c r="I39" s="2">
        <v>2647</v>
      </c>
      <c r="J39" s="11">
        <v>0</v>
      </c>
      <c r="K39" s="2">
        <f t="shared" si="1"/>
        <v>2647</v>
      </c>
      <c r="L39" t="s">
        <v>675</v>
      </c>
      <c r="M39" t="s">
        <v>680</v>
      </c>
      <c r="N39" t="s">
        <v>683</v>
      </c>
    </row>
    <row r="40" spans="1:14" x14ac:dyDescent="0.25">
      <c r="A40" s="10" t="s">
        <v>730</v>
      </c>
      <c r="B40" s="1">
        <v>45920</v>
      </c>
      <c r="C40" s="10" t="s">
        <v>459</v>
      </c>
      <c r="D40" s="10" t="s">
        <v>630</v>
      </c>
      <c r="E40" s="10" t="s">
        <v>33</v>
      </c>
      <c r="F40" t="s">
        <v>34</v>
      </c>
      <c r="G40" s="10" t="s">
        <v>17</v>
      </c>
      <c r="H40" s="3">
        <v>1</v>
      </c>
      <c r="I40" s="2">
        <v>2653</v>
      </c>
      <c r="J40" s="11">
        <v>0.15</v>
      </c>
      <c r="K40" s="2">
        <f t="shared" si="1"/>
        <v>2255.0499999999997</v>
      </c>
      <c r="L40" t="s">
        <v>679</v>
      </c>
      <c r="M40" t="s">
        <v>680</v>
      </c>
      <c r="N40" t="s">
        <v>683</v>
      </c>
    </row>
    <row r="41" spans="1:14" x14ac:dyDescent="0.25">
      <c r="A41" s="10" t="s">
        <v>731</v>
      </c>
      <c r="B41" s="1">
        <v>45920</v>
      </c>
      <c r="C41" s="10" t="s">
        <v>580</v>
      </c>
      <c r="D41" s="10" t="s">
        <v>626</v>
      </c>
      <c r="E41" s="10" t="s">
        <v>33</v>
      </c>
      <c r="F41" t="s">
        <v>34</v>
      </c>
      <c r="G41" s="10" t="s">
        <v>17</v>
      </c>
      <c r="H41" s="3">
        <v>1</v>
      </c>
      <c r="I41" s="2">
        <v>2588</v>
      </c>
      <c r="J41" s="11">
        <v>0.15</v>
      </c>
      <c r="K41" s="2">
        <f t="shared" si="1"/>
        <v>2199.7999999999997</v>
      </c>
      <c r="L41" t="s">
        <v>675</v>
      </c>
      <c r="M41" t="s">
        <v>680</v>
      </c>
      <c r="N41" t="s">
        <v>677</v>
      </c>
    </row>
    <row r="42" spans="1:14" x14ac:dyDescent="0.25">
      <c r="A42" s="10" t="s">
        <v>732</v>
      </c>
      <c r="B42" s="1">
        <v>45920</v>
      </c>
      <c r="C42" s="10" t="s">
        <v>487</v>
      </c>
      <c r="D42" s="10" t="s">
        <v>632</v>
      </c>
      <c r="E42" s="10" t="s">
        <v>36</v>
      </c>
      <c r="F42" t="s">
        <v>37</v>
      </c>
      <c r="G42" s="10" t="s">
        <v>17</v>
      </c>
      <c r="H42" s="3">
        <v>1</v>
      </c>
      <c r="I42" s="2">
        <v>2578</v>
      </c>
      <c r="J42" s="11">
        <v>0.1</v>
      </c>
      <c r="K42" s="2">
        <f t="shared" si="1"/>
        <v>2320.2000000000003</v>
      </c>
      <c r="L42" t="s">
        <v>693</v>
      </c>
      <c r="M42" t="s">
        <v>685</v>
      </c>
      <c r="N42" t="s">
        <v>677</v>
      </c>
    </row>
    <row r="43" spans="1:14" x14ac:dyDescent="0.25">
      <c r="A43" s="10" t="s">
        <v>733</v>
      </c>
      <c r="B43" s="1">
        <v>45923</v>
      </c>
      <c r="C43" s="10" t="s">
        <v>487</v>
      </c>
      <c r="D43" s="10" t="s">
        <v>628</v>
      </c>
      <c r="E43" s="10" t="s">
        <v>33</v>
      </c>
      <c r="F43" t="s">
        <v>34</v>
      </c>
      <c r="G43" s="10" t="s">
        <v>17</v>
      </c>
      <c r="H43" s="3">
        <v>1</v>
      </c>
      <c r="I43" s="2">
        <v>2447</v>
      </c>
      <c r="J43" s="11">
        <v>0.15</v>
      </c>
      <c r="K43" s="2">
        <f t="shared" si="1"/>
        <v>2079.9499999999998</v>
      </c>
      <c r="L43" t="s">
        <v>675</v>
      </c>
      <c r="M43" t="s">
        <v>680</v>
      </c>
      <c r="N43" t="s">
        <v>677</v>
      </c>
    </row>
    <row r="44" spans="1:14" x14ac:dyDescent="0.25">
      <c r="A44" s="10" t="s">
        <v>734</v>
      </c>
      <c r="B44" s="1">
        <v>45923</v>
      </c>
      <c r="C44" s="10" t="s">
        <v>487</v>
      </c>
      <c r="D44" s="10" t="s">
        <v>628</v>
      </c>
      <c r="E44" s="10" t="s">
        <v>735</v>
      </c>
      <c r="F44" t="s">
        <v>736</v>
      </c>
      <c r="G44" s="10" t="s">
        <v>70</v>
      </c>
      <c r="H44" s="3">
        <v>1</v>
      </c>
      <c r="I44" s="2">
        <v>24</v>
      </c>
      <c r="J44" s="11">
        <v>0.2</v>
      </c>
      <c r="K44" s="2">
        <f t="shared" si="1"/>
        <v>19.200000000000003</v>
      </c>
      <c r="L44" t="s">
        <v>675</v>
      </c>
      <c r="M44" t="s">
        <v>680</v>
      </c>
      <c r="N44" t="s">
        <v>677</v>
      </c>
    </row>
    <row r="45" spans="1:14" x14ac:dyDescent="0.25">
      <c r="A45" s="10" t="s">
        <v>737</v>
      </c>
      <c r="B45" s="1">
        <v>45924</v>
      </c>
      <c r="C45" s="10" t="s">
        <v>351</v>
      </c>
      <c r="D45" s="10" t="s">
        <v>636</v>
      </c>
      <c r="E45" s="10" t="s">
        <v>64</v>
      </c>
      <c r="F45" t="s">
        <v>65</v>
      </c>
      <c r="G45" s="10" t="s">
        <v>17</v>
      </c>
      <c r="H45" s="3">
        <v>1</v>
      </c>
      <c r="I45" s="2">
        <v>1510</v>
      </c>
      <c r="J45" s="11">
        <v>0.15</v>
      </c>
      <c r="K45" s="2">
        <f t="shared" si="1"/>
        <v>1283.5</v>
      </c>
      <c r="L45" t="s">
        <v>675</v>
      </c>
      <c r="M45" t="s">
        <v>685</v>
      </c>
      <c r="N45" t="s">
        <v>705</v>
      </c>
    </row>
    <row r="46" spans="1:14" x14ac:dyDescent="0.25">
      <c r="A46" s="10" t="s">
        <v>738</v>
      </c>
      <c r="B46" s="1">
        <v>45924</v>
      </c>
      <c r="C46" s="10" t="s">
        <v>351</v>
      </c>
      <c r="D46" s="10" t="s">
        <v>636</v>
      </c>
      <c r="E46" s="10" t="s">
        <v>739</v>
      </c>
      <c r="F46" t="s">
        <v>94</v>
      </c>
      <c r="G46" s="10" t="s">
        <v>70</v>
      </c>
      <c r="H46" s="3">
        <v>1</v>
      </c>
      <c r="I46" s="2">
        <v>79</v>
      </c>
      <c r="J46" s="11">
        <v>0.2</v>
      </c>
      <c r="K46" s="2">
        <f t="shared" si="1"/>
        <v>63.2</v>
      </c>
      <c r="L46" t="s">
        <v>675</v>
      </c>
      <c r="M46" t="s">
        <v>685</v>
      </c>
      <c r="N46" t="s">
        <v>705</v>
      </c>
    </row>
    <row r="47" spans="1:14" x14ac:dyDescent="0.25">
      <c r="A47" s="10" t="s">
        <v>740</v>
      </c>
      <c r="B47" s="1">
        <v>45924</v>
      </c>
      <c r="C47" s="10" t="s">
        <v>497</v>
      </c>
      <c r="D47" s="10" t="s">
        <v>649</v>
      </c>
      <c r="E47" s="10" t="s">
        <v>160</v>
      </c>
      <c r="F47" t="s">
        <v>690</v>
      </c>
      <c r="G47" s="10" t="s">
        <v>70</v>
      </c>
      <c r="H47" s="3">
        <v>1</v>
      </c>
      <c r="I47" s="2">
        <v>59</v>
      </c>
      <c r="J47" s="11">
        <v>0.1</v>
      </c>
      <c r="K47" s="2">
        <f t="shared" si="1"/>
        <v>53.1</v>
      </c>
      <c r="L47" t="s">
        <v>693</v>
      </c>
      <c r="M47" t="s">
        <v>685</v>
      </c>
      <c r="N47" t="s">
        <v>677</v>
      </c>
    </row>
    <row r="48" spans="1:14" x14ac:dyDescent="0.25">
      <c r="A48" s="10" t="s">
        <v>741</v>
      </c>
      <c r="B48" s="1">
        <v>45927</v>
      </c>
      <c r="C48" s="10" t="s">
        <v>400</v>
      </c>
      <c r="D48" s="10" t="s">
        <v>626</v>
      </c>
      <c r="E48" s="10" t="s">
        <v>59</v>
      </c>
      <c r="F48" t="s">
        <v>60</v>
      </c>
      <c r="G48" s="10" t="s">
        <v>17</v>
      </c>
      <c r="H48" s="3">
        <v>1</v>
      </c>
      <c r="I48" s="2">
        <v>1577</v>
      </c>
      <c r="J48" s="11">
        <v>0.1</v>
      </c>
      <c r="K48" s="2">
        <f t="shared" si="1"/>
        <v>1419.3</v>
      </c>
      <c r="L48" t="s">
        <v>679</v>
      </c>
      <c r="M48" t="s">
        <v>680</v>
      </c>
      <c r="N48" t="s">
        <v>683</v>
      </c>
    </row>
    <row r="49" spans="1:14" x14ac:dyDescent="0.25">
      <c r="A49" s="10" t="s">
        <v>742</v>
      </c>
      <c r="B49" s="1">
        <v>45927</v>
      </c>
      <c r="C49" s="10" t="s">
        <v>497</v>
      </c>
      <c r="D49" s="10" t="s">
        <v>649</v>
      </c>
      <c r="E49" s="10" t="s">
        <v>46</v>
      </c>
      <c r="F49" t="s">
        <v>47</v>
      </c>
      <c r="G49" s="10" t="s">
        <v>17</v>
      </c>
      <c r="H49" s="3">
        <v>1</v>
      </c>
      <c r="I49" s="2">
        <v>2349</v>
      </c>
      <c r="J49" s="11">
        <v>0.15</v>
      </c>
      <c r="K49" s="2">
        <f t="shared" si="1"/>
        <v>1996.6499999999999</v>
      </c>
      <c r="L49" t="s">
        <v>693</v>
      </c>
      <c r="M49" t="s">
        <v>685</v>
      </c>
      <c r="N49" t="s">
        <v>683</v>
      </c>
    </row>
    <row r="50" spans="1:14" x14ac:dyDescent="0.25">
      <c r="A50" s="10" t="s">
        <v>743</v>
      </c>
      <c r="B50" s="1">
        <v>45927</v>
      </c>
      <c r="C50" s="10" t="s">
        <v>400</v>
      </c>
      <c r="D50" s="10" t="s">
        <v>626</v>
      </c>
      <c r="E50" s="10" t="s">
        <v>728</v>
      </c>
      <c r="F50" t="s">
        <v>98</v>
      </c>
      <c r="G50" s="10" t="s">
        <v>70</v>
      </c>
      <c r="H50" s="3">
        <v>1</v>
      </c>
      <c r="I50" s="2">
        <v>79</v>
      </c>
      <c r="J50" s="11">
        <v>0.15</v>
      </c>
      <c r="K50" s="2">
        <f t="shared" si="1"/>
        <v>67.149999999999991</v>
      </c>
      <c r="L50" t="s">
        <v>679</v>
      </c>
      <c r="M50" t="s">
        <v>680</v>
      </c>
      <c r="N50" t="s">
        <v>683</v>
      </c>
    </row>
    <row r="51" spans="1:14" x14ac:dyDescent="0.25">
      <c r="A51" s="10" t="s">
        <v>744</v>
      </c>
      <c r="B51" s="1">
        <v>45928</v>
      </c>
      <c r="C51" s="10" t="s">
        <v>474</v>
      </c>
      <c r="D51" s="10" t="s">
        <v>622</v>
      </c>
      <c r="E51" s="10" t="s">
        <v>728</v>
      </c>
      <c r="F51" t="s">
        <v>98</v>
      </c>
      <c r="G51" s="10" t="s">
        <v>70</v>
      </c>
      <c r="H51" s="3">
        <v>2</v>
      </c>
      <c r="I51" s="2">
        <v>79</v>
      </c>
      <c r="J51" s="11">
        <v>0.15</v>
      </c>
      <c r="K51" s="2">
        <f t="shared" si="1"/>
        <v>134.29999999999998</v>
      </c>
      <c r="L51" t="s">
        <v>679</v>
      </c>
      <c r="M51" t="s">
        <v>676</v>
      </c>
      <c r="N51" t="s">
        <v>683</v>
      </c>
    </row>
    <row r="52" spans="1:14" x14ac:dyDescent="0.25">
      <c r="A52" s="10" t="s">
        <v>745</v>
      </c>
      <c r="B52" s="1">
        <v>45929</v>
      </c>
      <c r="C52" s="10" t="s">
        <v>400</v>
      </c>
      <c r="D52" s="10" t="s">
        <v>622</v>
      </c>
      <c r="E52" s="10" t="s">
        <v>54</v>
      </c>
      <c r="F52" t="s">
        <v>55</v>
      </c>
      <c r="G52" s="10" t="s">
        <v>17</v>
      </c>
      <c r="H52" s="3">
        <v>1</v>
      </c>
      <c r="I52" s="2">
        <v>2807</v>
      </c>
      <c r="J52" s="11">
        <v>0.2</v>
      </c>
      <c r="K52" s="2">
        <f t="shared" si="1"/>
        <v>2245.6</v>
      </c>
      <c r="L52" t="s">
        <v>693</v>
      </c>
      <c r="M52" t="s">
        <v>685</v>
      </c>
      <c r="N52" t="s">
        <v>677</v>
      </c>
    </row>
    <row r="53" spans="1:14" x14ac:dyDescent="0.25">
      <c r="A53" s="10" t="s">
        <v>746</v>
      </c>
      <c r="B53" s="1">
        <v>45929</v>
      </c>
      <c r="C53" s="10" t="s">
        <v>491</v>
      </c>
      <c r="D53" s="10" t="s">
        <v>632</v>
      </c>
      <c r="E53" s="10" t="s">
        <v>36</v>
      </c>
      <c r="F53" t="s">
        <v>37</v>
      </c>
      <c r="G53" s="10" t="s">
        <v>17</v>
      </c>
      <c r="H53" s="3">
        <v>1</v>
      </c>
      <c r="I53" s="2">
        <v>2544</v>
      </c>
      <c r="J53" s="11">
        <v>0.1</v>
      </c>
      <c r="K53" s="2">
        <f t="shared" si="1"/>
        <v>2289.6</v>
      </c>
      <c r="L53" t="s">
        <v>675</v>
      </c>
      <c r="M53" t="s">
        <v>680</v>
      </c>
      <c r="N53" t="s">
        <v>705</v>
      </c>
    </row>
    <row r="54" spans="1:14" x14ac:dyDescent="0.25">
      <c r="A54" s="10" t="s">
        <v>747</v>
      </c>
      <c r="B54" s="1">
        <v>45932</v>
      </c>
      <c r="C54" s="10" t="s">
        <v>359</v>
      </c>
      <c r="D54" s="10" t="s">
        <v>638</v>
      </c>
      <c r="E54" s="10" t="s">
        <v>49</v>
      </c>
      <c r="F54" t="s">
        <v>50</v>
      </c>
      <c r="G54" s="10" t="s">
        <v>17</v>
      </c>
      <c r="H54" s="3">
        <v>1</v>
      </c>
      <c r="I54" s="2">
        <v>2378</v>
      </c>
      <c r="J54" s="11">
        <v>0.1</v>
      </c>
      <c r="K54" s="2">
        <f t="shared" si="1"/>
        <v>2140.2000000000003</v>
      </c>
      <c r="L54" t="s">
        <v>675</v>
      </c>
      <c r="M54" t="s">
        <v>685</v>
      </c>
      <c r="N54" t="s">
        <v>677</v>
      </c>
    </row>
    <row r="55" spans="1:14" x14ac:dyDescent="0.25">
      <c r="A55" s="10" t="s">
        <v>748</v>
      </c>
      <c r="B55" s="1">
        <v>45932</v>
      </c>
      <c r="C55" s="10" t="s">
        <v>359</v>
      </c>
      <c r="D55" s="10" t="s">
        <v>638</v>
      </c>
      <c r="E55" s="10" t="s">
        <v>338</v>
      </c>
      <c r="F55" t="s">
        <v>339</v>
      </c>
      <c r="G55" s="10" t="s">
        <v>70</v>
      </c>
      <c r="H55" s="3">
        <v>1</v>
      </c>
      <c r="I55" s="2">
        <v>29</v>
      </c>
      <c r="J55" s="11">
        <v>0.15</v>
      </c>
      <c r="K55" s="2">
        <f t="shared" si="1"/>
        <v>24.65</v>
      </c>
      <c r="L55" t="s">
        <v>675</v>
      </c>
      <c r="M55" t="s">
        <v>685</v>
      </c>
      <c r="N55" t="s">
        <v>677</v>
      </c>
    </row>
    <row r="56" spans="1:14" x14ac:dyDescent="0.25">
      <c r="A56" s="10" t="s">
        <v>749</v>
      </c>
      <c r="B56" s="1">
        <v>45934</v>
      </c>
      <c r="C56" s="10" t="s">
        <v>573</v>
      </c>
      <c r="D56" s="10" t="s">
        <v>622</v>
      </c>
      <c r="E56" s="10" t="s">
        <v>25</v>
      </c>
      <c r="F56" t="s">
        <v>26</v>
      </c>
      <c r="G56" s="10" t="s">
        <v>17</v>
      </c>
      <c r="H56" s="3">
        <v>1</v>
      </c>
      <c r="I56" s="2">
        <v>2465</v>
      </c>
      <c r="J56" s="11">
        <v>0.1</v>
      </c>
      <c r="K56" s="2">
        <f t="shared" si="1"/>
        <v>2218.5</v>
      </c>
      <c r="L56" t="s">
        <v>693</v>
      </c>
      <c r="M56" t="s">
        <v>685</v>
      </c>
      <c r="N56" t="s">
        <v>677</v>
      </c>
    </row>
    <row r="57" spans="1:14" x14ac:dyDescent="0.25">
      <c r="A57" s="10" t="s">
        <v>750</v>
      </c>
      <c r="B57" s="1">
        <v>45934</v>
      </c>
      <c r="C57" s="10" t="s">
        <v>573</v>
      </c>
      <c r="D57" s="10" t="s">
        <v>622</v>
      </c>
      <c r="E57" s="10" t="s">
        <v>160</v>
      </c>
      <c r="F57" t="s">
        <v>690</v>
      </c>
      <c r="G57" s="10" t="s">
        <v>70</v>
      </c>
      <c r="H57" s="3">
        <v>1</v>
      </c>
      <c r="I57" s="2">
        <v>59</v>
      </c>
      <c r="J57" s="11">
        <v>0.15</v>
      </c>
      <c r="K57" s="2">
        <f t="shared" si="1"/>
        <v>50.15</v>
      </c>
      <c r="L57" t="s">
        <v>693</v>
      </c>
      <c r="M57" t="s">
        <v>685</v>
      </c>
      <c r="N57" t="s">
        <v>677</v>
      </c>
    </row>
    <row r="58" spans="1:14" x14ac:dyDescent="0.25">
      <c r="A58" s="10" t="s">
        <v>751</v>
      </c>
      <c r="B58" s="1">
        <v>45937</v>
      </c>
      <c r="C58" s="10" t="s">
        <v>415</v>
      </c>
      <c r="D58" s="10" t="s">
        <v>658</v>
      </c>
      <c r="E58" s="10" t="s">
        <v>250</v>
      </c>
      <c r="F58" t="s">
        <v>752</v>
      </c>
      <c r="G58" s="10" t="s">
        <v>70</v>
      </c>
      <c r="H58" s="3">
        <v>3</v>
      </c>
      <c r="I58" s="2">
        <v>22</v>
      </c>
      <c r="J58" s="11">
        <v>0.1</v>
      </c>
      <c r="K58" s="2">
        <f t="shared" si="1"/>
        <v>59.4</v>
      </c>
      <c r="L58" t="s">
        <v>675</v>
      </c>
      <c r="M58" t="s">
        <v>691</v>
      </c>
      <c r="N58" t="s">
        <v>683</v>
      </c>
    </row>
    <row r="59" spans="1:14" x14ac:dyDescent="0.25">
      <c r="A59" s="10" t="s">
        <v>753</v>
      </c>
      <c r="B59" s="1">
        <v>45939</v>
      </c>
      <c r="C59" s="10" t="s">
        <v>494</v>
      </c>
      <c r="D59" s="10" t="s">
        <v>622</v>
      </c>
      <c r="E59" s="10" t="s">
        <v>64</v>
      </c>
      <c r="F59" t="s">
        <v>65</v>
      </c>
      <c r="G59" s="10" t="s">
        <v>17</v>
      </c>
      <c r="H59" s="3">
        <v>1</v>
      </c>
      <c r="I59" s="2">
        <v>1458</v>
      </c>
      <c r="J59" s="11">
        <v>0.15</v>
      </c>
      <c r="K59" s="2">
        <f t="shared" si="1"/>
        <v>1239.3</v>
      </c>
      <c r="L59" t="s">
        <v>679</v>
      </c>
      <c r="M59" t="s">
        <v>691</v>
      </c>
      <c r="N59" t="s">
        <v>705</v>
      </c>
    </row>
    <row r="60" spans="1:14" x14ac:dyDescent="0.25">
      <c r="A60" s="10" t="s">
        <v>754</v>
      </c>
      <c r="B60" s="1">
        <v>45939</v>
      </c>
      <c r="C60" s="10" t="s">
        <v>359</v>
      </c>
      <c r="D60" s="10" t="s">
        <v>628</v>
      </c>
      <c r="E60" s="10" t="s">
        <v>25</v>
      </c>
      <c r="F60" t="s">
        <v>26</v>
      </c>
      <c r="G60" s="10" t="s">
        <v>17</v>
      </c>
      <c r="H60" s="3">
        <v>1</v>
      </c>
      <c r="I60" s="2">
        <v>2358</v>
      </c>
      <c r="J60" s="11">
        <v>0.2</v>
      </c>
      <c r="K60" s="2">
        <f t="shared" si="1"/>
        <v>1886.4</v>
      </c>
      <c r="L60" t="s">
        <v>693</v>
      </c>
      <c r="M60" t="s">
        <v>676</v>
      </c>
      <c r="N60" t="s">
        <v>677</v>
      </c>
    </row>
    <row r="61" spans="1:14" x14ac:dyDescent="0.25">
      <c r="A61" s="10" t="s">
        <v>755</v>
      </c>
      <c r="B61" s="1">
        <v>45939</v>
      </c>
      <c r="C61" s="10" t="s">
        <v>463</v>
      </c>
      <c r="D61" s="10" t="s">
        <v>613</v>
      </c>
      <c r="E61" s="10" t="s">
        <v>49</v>
      </c>
      <c r="F61" t="s">
        <v>50</v>
      </c>
      <c r="G61" s="10" t="s">
        <v>17</v>
      </c>
      <c r="H61" s="3">
        <v>1</v>
      </c>
      <c r="I61" s="2">
        <v>2304</v>
      </c>
      <c r="J61" s="11">
        <v>0.1</v>
      </c>
      <c r="K61" s="2">
        <f t="shared" si="1"/>
        <v>2073.6</v>
      </c>
      <c r="L61" t="s">
        <v>693</v>
      </c>
      <c r="M61" t="s">
        <v>680</v>
      </c>
      <c r="N61" t="s">
        <v>677</v>
      </c>
    </row>
    <row r="62" spans="1:14" x14ac:dyDescent="0.25">
      <c r="A62" s="10" t="s">
        <v>756</v>
      </c>
      <c r="B62" s="1">
        <v>45940</v>
      </c>
      <c r="C62" s="10" t="s">
        <v>450</v>
      </c>
      <c r="D62" s="10" t="s">
        <v>613</v>
      </c>
      <c r="E62" s="10" t="s">
        <v>57</v>
      </c>
      <c r="F62" t="s">
        <v>58</v>
      </c>
      <c r="G62" s="10" t="s">
        <v>17</v>
      </c>
      <c r="H62" s="3">
        <v>1</v>
      </c>
      <c r="I62" s="2">
        <v>2560</v>
      </c>
      <c r="J62" s="11">
        <v>0.1</v>
      </c>
      <c r="K62" s="2">
        <f t="shared" si="1"/>
        <v>2304</v>
      </c>
      <c r="L62" t="s">
        <v>679</v>
      </c>
      <c r="M62" t="s">
        <v>680</v>
      </c>
      <c r="N62" t="s">
        <v>677</v>
      </c>
    </row>
    <row r="63" spans="1:14" x14ac:dyDescent="0.25">
      <c r="A63" s="10" t="s">
        <v>757</v>
      </c>
      <c r="B63" s="1">
        <v>45941</v>
      </c>
      <c r="C63" s="10" t="s">
        <v>590</v>
      </c>
      <c r="D63" s="10" t="s">
        <v>624</v>
      </c>
      <c r="E63" s="10" t="s">
        <v>64</v>
      </c>
      <c r="F63" t="s">
        <v>65</v>
      </c>
      <c r="G63" s="10" t="s">
        <v>17</v>
      </c>
      <c r="H63" s="3">
        <v>1</v>
      </c>
      <c r="I63" s="2">
        <v>1671</v>
      </c>
      <c r="J63" s="11">
        <v>0.1</v>
      </c>
      <c r="K63" s="2">
        <f t="shared" si="1"/>
        <v>1503.9</v>
      </c>
      <c r="L63" t="s">
        <v>675</v>
      </c>
      <c r="M63" t="s">
        <v>685</v>
      </c>
      <c r="N63" t="s">
        <v>683</v>
      </c>
    </row>
    <row r="64" spans="1:14" x14ac:dyDescent="0.25">
      <c r="A64" s="10" t="s">
        <v>758</v>
      </c>
      <c r="B64" s="1">
        <v>45942</v>
      </c>
      <c r="C64" s="10" t="s">
        <v>549</v>
      </c>
      <c r="D64" s="10" t="s">
        <v>647</v>
      </c>
      <c r="E64" s="10" t="s">
        <v>54</v>
      </c>
      <c r="F64" t="s">
        <v>55</v>
      </c>
      <c r="G64" s="10" t="s">
        <v>17</v>
      </c>
      <c r="H64" s="3">
        <v>1</v>
      </c>
      <c r="I64" s="2">
        <v>2841</v>
      </c>
      <c r="J64" s="11">
        <v>0.1</v>
      </c>
      <c r="K64" s="2">
        <f t="shared" si="1"/>
        <v>2556.9</v>
      </c>
      <c r="L64" t="s">
        <v>675</v>
      </c>
      <c r="M64" t="s">
        <v>680</v>
      </c>
      <c r="N64" t="s">
        <v>683</v>
      </c>
    </row>
    <row r="65" spans="1:14" x14ac:dyDescent="0.25">
      <c r="A65" s="10" t="s">
        <v>759</v>
      </c>
      <c r="B65" s="1">
        <v>45944</v>
      </c>
      <c r="C65" s="10" t="s">
        <v>549</v>
      </c>
      <c r="D65" s="10" t="s">
        <v>658</v>
      </c>
      <c r="E65" s="10" t="s">
        <v>54</v>
      </c>
      <c r="F65" t="s">
        <v>55</v>
      </c>
      <c r="G65" s="10" t="s">
        <v>17</v>
      </c>
      <c r="H65" s="3">
        <v>1</v>
      </c>
      <c r="I65" s="2">
        <v>2863</v>
      </c>
      <c r="J65" s="11">
        <v>0.15</v>
      </c>
      <c r="K65" s="2">
        <f t="shared" si="1"/>
        <v>2433.5499999999997</v>
      </c>
      <c r="L65" t="s">
        <v>675</v>
      </c>
      <c r="M65" t="s">
        <v>676</v>
      </c>
      <c r="N65" t="s">
        <v>683</v>
      </c>
    </row>
    <row r="66" spans="1:14" x14ac:dyDescent="0.25">
      <c r="A66" s="10" t="s">
        <v>760</v>
      </c>
      <c r="B66" s="1">
        <v>45947</v>
      </c>
      <c r="C66" s="10" t="s">
        <v>530</v>
      </c>
      <c r="D66" s="10" t="s">
        <v>632</v>
      </c>
      <c r="E66" s="10" t="s">
        <v>15</v>
      </c>
      <c r="F66" t="s">
        <v>16</v>
      </c>
      <c r="G66" s="10" t="s">
        <v>17</v>
      </c>
      <c r="H66" s="3">
        <v>1</v>
      </c>
      <c r="I66" s="2">
        <v>2406</v>
      </c>
      <c r="J66" s="11">
        <v>0.2</v>
      </c>
      <c r="K66" s="2">
        <f t="shared" ref="K66:K97" si="2">H66 * I66 * (1 - J66)</f>
        <v>1924.8000000000002</v>
      </c>
      <c r="L66" t="s">
        <v>679</v>
      </c>
      <c r="M66" t="s">
        <v>685</v>
      </c>
      <c r="N66" t="s">
        <v>705</v>
      </c>
    </row>
    <row r="67" spans="1:14" x14ac:dyDescent="0.25">
      <c r="A67" s="10" t="s">
        <v>761</v>
      </c>
      <c r="B67" s="1">
        <v>45947</v>
      </c>
      <c r="C67" s="10" t="s">
        <v>494</v>
      </c>
      <c r="D67" s="10" t="s">
        <v>661</v>
      </c>
      <c r="E67" s="10" t="s">
        <v>54</v>
      </c>
      <c r="F67" t="s">
        <v>55</v>
      </c>
      <c r="G67" s="10" t="s">
        <v>17</v>
      </c>
      <c r="H67" s="3">
        <v>1</v>
      </c>
      <c r="I67" s="2">
        <v>2735</v>
      </c>
      <c r="J67" s="11">
        <v>0.2</v>
      </c>
      <c r="K67" s="2">
        <f t="shared" si="2"/>
        <v>2188</v>
      </c>
      <c r="L67" t="s">
        <v>675</v>
      </c>
      <c r="M67" t="s">
        <v>680</v>
      </c>
      <c r="N67" t="s">
        <v>677</v>
      </c>
    </row>
    <row r="68" spans="1:14" x14ac:dyDescent="0.25">
      <c r="A68" s="10" t="s">
        <v>762</v>
      </c>
      <c r="B68" s="1">
        <v>45949</v>
      </c>
      <c r="C68" s="10" t="s">
        <v>530</v>
      </c>
      <c r="D68" s="10" t="s">
        <v>638</v>
      </c>
      <c r="E68" s="10" t="s">
        <v>29</v>
      </c>
      <c r="F68" t="s">
        <v>30</v>
      </c>
      <c r="G68" s="10" t="s">
        <v>17</v>
      </c>
      <c r="H68" s="3">
        <v>1</v>
      </c>
      <c r="I68" s="2">
        <v>2040</v>
      </c>
      <c r="J68" s="11">
        <v>0.1</v>
      </c>
      <c r="K68" s="2">
        <f t="shared" si="2"/>
        <v>1836</v>
      </c>
      <c r="L68" t="s">
        <v>693</v>
      </c>
      <c r="M68" t="s">
        <v>691</v>
      </c>
      <c r="N68" t="s">
        <v>683</v>
      </c>
    </row>
    <row r="69" spans="1:14" x14ac:dyDescent="0.25">
      <c r="A69" s="10" t="s">
        <v>763</v>
      </c>
      <c r="B69" s="1">
        <v>45949</v>
      </c>
      <c r="C69" s="10" t="s">
        <v>530</v>
      </c>
      <c r="D69" s="10" t="s">
        <v>638</v>
      </c>
      <c r="E69" s="10" t="s">
        <v>228</v>
      </c>
      <c r="F69" t="s">
        <v>720</v>
      </c>
      <c r="G69" s="10" t="s">
        <v>70</v>
      </c>
      <c r="H69" s="3">
        <v>1</v>
      </c>
      <c r="I69" s="2">
        <v>119</v>
      </c>
      <c r="J69" s="11">
        <v>0.15</v>
      </c>
      <c r="K69" s="2">
        <f t="shared" si="2"/>
        <v>101.14999999999999</v>
      </c>
      <c r="L69" t="s">
        <v>693</v>
      </c>
      <c r="M69" t="s">
        <v>691</v>
      </c>
      <c r="N69" t="s">
        <v>683</v>
      </c>
    </row>
    <row r="70" spans="1:14" x14ac:dyDescent="0.25">
      <c r="A70" s="10" t="s">
        <v>764</v>
      </c>
      <c r="B70" s="1">
        <v>45950</v>
      </c>
      <c r="C70" s="10" t="s">
        <v>415</v>
      </c>
      <c r="D70" s="10" t="s">
        <v>643</v>
      </c>
      <c r="E70" s="10" t="s">
        <v>41</v>
      </c>
      <c r="F70" t="s">
        <v>42</v>
      </c>
      <c r="G70" s="10" t="s">
        <v>17</v>
      </c>
      <c r="H70" s="3">
        <v>1</v>
      </c>
      <c r="I70" s="2">
        <v>2530</v>
      </c>
      <c r="J70" s="11">
        <v>0.15</v>
      </c>
      <c r="K70" s="2">
        <f t="shared" si="2"/>
        <v>2150.5</v>
      </c>
      <c r="L70" t="s">
        <v>693</v>
      </c>
      <c r="M70" t="s">
        <v>676</v>
      </c>
      <c r="N70" t="s">
        <v>705</v>
      </c>
    </row>
    <row r="71" spans="1:14" x14ac:dyDescent="0.25">
      <c r="A71" s="10" t="s">
        <v>765</v>
      </c>
      <c r="B71" s="1">
        <v>45950</v>
      </c>
      <c r="C71" s="10" t="s">
        <v>415</v>
      </c>
      <c r="D71" s="10" t="s">
        <v>643</v>
      </c>
      <c r="E71" s="10" t="s">
        <v>699</v>
      </c>
      <c r="F71" t="s">
        <v>700</v>
      </c>
      <c r="G71" s="10" t="s">
        <v>70</v>
      </c>
      <c r="H71" s="3">
        <v>2</v>
      </c>
      <c r="I71" s="2">
        <v>69</v>
      </c>
      <c r="J71" s="11">
        <v>0.2</v>
      </c>
      <c r="K71" s="2">
        <f t="shared" si="2"/>
        <v>110.4</v>
      </c>
      <c r="L71" t="s">
        <v>693</v>
      </c>
      <c r="M71" t="s">
        <v>676</v>
      </c>
      <c r="N71" t="s">
        <v>705</v>
      </c>
    </row>
    <row r="72" spans="1:14" x14ac:dyDescent="0.25">
      <c r="A72" s="10" t="s">
        <v>766</v>
      </c>
      <c r="B72" s="1">
        <v>45957</v>
      </c>
      <c r="C72" s="10" t="s">
        <v>545</v>
      </c>
      <c r="D72" s="10" t="s">
        <v>643</v>
      </c>
      <c r="E72" s="10" t="s">
        <v>51</v>
      </c>
      <c r="F72" t="s">
        <v>52</v>
      </c>
      <c r="G72" s="10" t="s">
        <v>17</v>
      </c>
      <c r="H72" s="3">
        <v>1</v>
      </c>
      <c r="I72" s="2">
        <v>3005</v>
      </c>
      <c r="J72" s="11">
        <v>0.2</v>
      </c>
      <c r="K72" s="2">
        <f t="shared" si="2"/>
        <v>2404</v>
      </c>
      <c r="L72" t="s">
        <v>675</v>
      </c>
      <c r="M72" t="s">
        <v>676</v>
      </c>
      <c r="N72" t="s">
        <v>677</v>
      </c>
    </row>
    <row r="73" spans="1:14" x14ac:dyDescent="0.25">
      <c r="A73" s="10" t="s">
        <v>767</v>
      </c>
      <c r="B73" s="1">
        <v>45957</v>
      </c>
      <c r="C73" s="10" t="s">
        <v>444</v>
      </c>
      <c r="D73" s="10" t="s">
        <v>638</v>
      </c>
      <c r="E73" s="10" t="s">
        <v>46</v>
      </c>
      <c r="F73" t="s">
        <v>47</v>
      </c>
      <c r="G73" s="10" t="s">
        <v>17</v>
      </c>
      <c r="H73" s="3">
        <v>1</v>
      </c>
      <c r="I73" s="2">
        <v>2466</v>
      </c>
      <c r="J73" s="11">
        <v>0.1</v>
      </c>
      <c r="K73" s="2">
        <f t="shared" si="2"/>
        <v>2219.4</v>
      </c>
      <c r="L73" t="s">
        <v>679</v>
      </c>
      <c r="M73" t="s">
        <v>691</v>
      </c>
      <c r="N73" t="s">
        <v>683</v>
      </c>
    </row>
    <row r="74" spans="1:14" x14ac:dyDescent="0.25">
      <c r="A74" s="10" t="s">
        <v>768</v>
      </c>
      <c r="B74" s="1">
        <v>45957</v>
      </c>
      <c r="C74" s="10" t="s">
        <v>511</v>
      </c>
      <c r="D74" s="10" t="s">
        <v>622</v>
      </c>
      <c r="E74" s="10" t="s">
        <v>25</v>
      </c>
      <c r="F74" t="s">
        <v>26</v>
      </c>
      <c r="G74" s="10" t="s">
        <v>17</v>
      </c>
      <c r="H74" s="3">
        <v>1</v>
      </c>
      <c r="I74" s="2">
        <v>2312</v>
      </c>
      <c r="J74" s="11">
        <v>0</v>
      </c>
      <c r="K74" s="2">
        <f t="shared" si="2"/>
        <v>2312</v>
      </c>
      <c r="L74" t="s">
        <v>693</v>
      </c>
      <c r="M74" t="s">
        <v>691</v>
      </c>
      <c r="N74" t="s">
        <v>677</v>
      </c>
    </row>
    <row r="75" spans="1:14" x14ac:dyDescent="0.25">
      <c r="A75" s="10" t="s">
        <v>769</v>
      </c>
      <c r="B75" s="1">
        <v>45957</v>
      </c>
      <c r="C75" s="10" t="s">
        <v>545</v>
      </c>
      <c r="D75" s="10" t="s">
        <v>643</v>
      </c>
      <c r="E75" s="10" t="s">
        <v>699</v>
      </c>
      <c r="F75" t="s">
        <v>700</v>
      </c>
      <c r="G75" s="10" t="s">
        <v>70</v>
      </c>
      <c r="H75" s="3">
        <v>1</v>
      </c>
      <c r="I75" s="2">
        <v>69</v>
      </c>
      <c r="J75" s="11">
        <v>0.1</v>
      </c>
      <c r="K75" s="2">
        <f t="shared" si="2"/>
        <v>62.1</v>
      </c>
      <c r="L75" t="s">
        <v>675</v>
      </c>
      <c r="M75" t="s">
        <v>676</v>
      </c>
      <c r="N75" t="s">
        <v>677</v>
      </c>
    </row>
    <row r="76" spans="1:14" x14ac:dyDescent="0.25">
      <c r="A76" s="10" t="s">
        <v>770</v>
      </c>
      <c r="B76" s="1">
        <v>45959</v>
      </c>
      <c r="C76" s="10" t="s">
        <v>479</v>
      </c>
      <c r="D76" s="10" t="s">
        <v>624</v>
      </c>
      <c r="E76" s="10" t="s">
        <v>36</v>
      </c>
      <c r="F76" t="s">
        <v>37</v>
      </c>
      <c r="G76" s="10" t="s">
        <v>17</v>
      </c>
      <c r="H76" s="3">
        <v>1</v>
      </c>
      <c r="I76" s="2">
        <v>2486</v>
      </c>
      <c r="J76" s="11">
        <v>0.2</v>
      </c>
      <c r="K76" s="2">
        <f t="shared" si="2"/>
        <v>1988.8000000000002</v>
      </c>
      <c r="L76" t="s">
        <v>693</v>
      </c>
      <c r="M76" t="s">
        <v>676</v>
      </c>
      <c r="N76" t="s">
        <v>677</v>
      </c>
    </row>
    <row r="77" spans="1:14" x14ac:dyDescent="0.25">
      <c r="A77" s="10" t="s">
        <v>771</v>
      </c>
      <c r="B77" s="1">
        <v>45965</v>
      </c>
      <c r="C77" s="10" t="s">
        <v>459</v>
      </c>
      <c r="D77" s="10" t="s">
        <v>653</v>
      </c>
      <c r="E77" s="10" t="s">
        <v>54</v>
      </c>
      <c r="F77" t="s">
        <v>55</v>
      </c>
      <c r="G77" s="10" t="s">
        <v>17</v>
      </c>
      <c r="H77" s="3">
        <v>1</v>
      </c>
      <c r="I77" s="2">
        <v>2806</v>
      </c>
      <c r="J77" s="11">
        <v>0.2</v>
      </c>
      <c r="K77" s="2">
        <f t="shared" si="2"/>
        <v>2244.8000000000002</v>
      </c>
      <c r="L77" t="s">
        <v>693</v>
      </c>
      <c r="M77" t="s">
        <v>680</v>
      </c>
      <c r="N77" t="s">
        <v>677</v>
      </c>
    </row>
    <row r="78" spans="1:14" x14ac:dyDescent="0.25">
      <c r="A78" s="10" t="s">
        <v>772</v>
      </c>
      <c r="B78" s="1">
        <v>45970</v>
      </c>
      <c r="C78" s="10" t="s">
        <v>351</v>
      </c>
      <c r="D78" s="10" t="s">
        <v>628</v>
      </c>
      <c r="E78" s="10" t="s">
        <v>66</v>
      </c>
      <c r="F78" t="s">
        <v>67</v>
      </c>
      <c r="G78" s="10" t="s">
        <v>17</v>
      </c>
      <c r="H78" s="3">
        <v>1</v>
      </c>
      <c r="I78" s="2">
        <v>1612</v>
      </c>
      <c r="J78" s="11">
        <v>0.1</v>
      </c>
      <c r="K78" s="2">
        <f t="shared" si="2"/>
        <v>1450.8</v>
      </c>
      <c r="L78" t="s">
        <v>675</v>
      </c>
      <c r="M78" t="s">
        <v>676</v>
      </c>
      <c r="N78" t="s">
        <v>683</v>
      </c>
    </row>
    <row r="79" spans="1:14" x14ac:dyDescent="0.25">
      <c r="A79" s="10" t="s">
        <v>773</v>
      </c>
      <c r="B79" s="1">
        <v>45970</v>
      </c>
      <c r="C79" s="10" t="s">
        <v>471</v>
      </c>
      <c r="D79" s="10" t="s">
        <v>622</v>
      </c>
      <c r="E79" s="10" t="s">
        <v>38</v>
      </c>
      <c r="F79" t="s">
        <v>39</v>
      </c>
      <c r="G79" s="10" t="s">
        <v>17</v>
      </c>
      <c r="H79" s="3">
        <v>1</v>
      </c>
      <c r="I79" s="2">
        <v>2452</v>
      </c>
      <c r="J79" s="11">
        <v>0.2</v>
      </c>
      <c r="K79" s="2">
        <f t="shared" si="2"/>
        <v>1961.6000000000001</v>
      </c>
      <c r="L79" t="s">
        <v>675</v>
      </c>
      <c r="M79" t="s">
        <v>691</v>
      </c>
      <c r="N79" t="s">
        <v>677</v>
      </c>
    </row>
    <row r="80" spans="1:14" x14ac:dyDescent="0.25">
      <c r="A80" s="10" t="s">
        <v>774</v>
      </c>
      <c r="B80" s="1">
        <v>45970</v>
      </c>
      <c r="C80" s="10" t="s">
        <v>351</v>
      </c>
      <c r="D80" s="10" t="s">
        <v>628</v>
      </c>
      <c r="E80" s="10" t="s">
        <v>338</v>
      </c>
      <c r="F80" t="s">
        <v>339</v>
      </c>
      <c r="G80" s="10" t="s">
        <v>70</v>
      </c>
      <c r="H80" s="3">
        <v>1</v>
      </c>
      <c r="I80" s="2">
        <v>29</v>
      </c>
      <c r="J80" s="11">
        <v>0.15</v>
      </c>
      <c r="K80" s="2">
        <f t="shared" si="2"/>
        <v>24.65</v>
      </c>
      <c r="L80" t="s">
        <v>675</v>
      </c>
      <c r="M80" t="s">
        <v>676</v>
      </c>
      <c r="N80" t="s">
        <v>683</v>
      </c>
    </row>
    <row r="81" spans="1:14" x14ac:dyDescent="0.25">
      <c r="A81" s="10" t="s">
        <v>775</v>
      </c>
      <c r="B81" s="1">
        <v>45970</v>
      </c>
      <c r="C81" s="10" t="s">
        <v>471</v>
      </c>
      <c r="D81" s="10" t="s">
        <v>622</v>
      </c>
      <c r="E81" s="10" t="s">
        <v>316</v>
      </c>
      <c r="F81" t="s">
        <v>776</v>
      </c>
      <c r="G81" s="10" t="s">
        <v>70</v>
      </c>
      <c r="H81" s="3">
        <v>2</v>
      </c>
      <c r="I81" s="2">
        <v>34</v>
      </c>
      <c r="J81" s="11">
        <v>0.1</v>
      </c>
      <c r="K81" s="2">
        <f t="shared" si="2"/>
        <v>61.2</v>
      </c>
      <c r="L81" t="s">
        <v>675</v>
      </c>
      <c r="M81" t="s">
        <v>691</v>
      </c>
      <c r="N81" t="s">
        <v>677</v>
      </c>
    </row>
    <row r="82" spans="1:14" x14ac:dyDescent="0.25">
      <c r="A82" s="10" t="s">
        <v>777</v>
      </c>
      <c r="B82" s="1">
        <v>45971</v>
      </c>
      <c r="C82" s="10" t="s">
        <v>474</v>
      </c>
      <c r="D82" s="10" t="s">
        <v>655</v>
      </c>
      <c r="E82" s="10" t="s">
        <v>57</v>
      </c>
      <c r="F82" t="s">
        <v>58</v>
      </c>
      <c r="G82" s="10" t="s">
        <v>17</v>
      </c>
      <c r="H82" s="3">
        <v>1</v>
      </c>
      <c r="I82" s="2">
        <v>2524</v>
      </c>
      <c r="J82" s="11">
        <v>0.2</v>
      </c>
      <c r="K82" s="2">
        <f t="shared" si="2"/>
        <v>2019.2</v>
      </c>
      <c r="L82" t="s">
        <v>693</v>
      </c>
      <c r="M82" t="s">
        <v>676</v>
      </c>
      <c r="N82" t="s">
        <v>683</v>
      </c>
    </row>
    <row r="83" spans="1:14" x14ac:dyDescent="0.25">
      <c r="A83" s="10" t="s">
        <v>778</v>
      </c>
      <c r="B83" s="1">
        <v>45971</v>
      </c>
      <c r="C83" s="10" t="s">
        <v>474</v>
      </c>
      <c r="D83" s="10" t="s">
        <v>647</v>
      </c>
      <c r="E83" s="10" t="s">
        <v>66</v>
      </c>
      <c r="F83" t="s">
        <v>67</v>
      </c>
      <c r="G83" s="10" t="s">
        <v>17</v>
      </c>
      <c r="H83" s="3">
        <v>1</v>
      </c>
      <c r="I83" s="2">
        <v>1564</v>
      </c>
      <c r="J83" s="11">
        <v>0.1</v>
      </c>
      <c r="K83" s="2">
        <f t="shared" si="2"/>
        <v>1407.6000000000001</v>
      </c>
      <c r="L83" t="s">
        <v>675</v>
      </c>
      <c r="M83" t="s">
        <v>676</v>
      </c>
      <c r="N83" t="s">
        <v>677</v>
      </c>
    </row>
    <row r="84" spans="1:14" x14ac:dyDescent="0.25">
      <c r="A84" s="10" t="s">
        <v>779</v>
      </c>
      <c r="B84" s="1">
        <v>45971</v>
      </c>
      <c r="C84" s="10" t="s">
        <v>389</v>
      </c>
      <c r="D84" s="10" t="s">
        <v>630</v>
      </c>
      <c r="E84" s="10" t="s">
        <v>38</v>
      </c>
      <c r="F84" t="s">
        <v>39</v>
      </c>
      <c r="G84" s="10" t="s">
        <v>17</v>
      </c>
      <c r="H84" s="3">
        <v>1</v>
      </c>
      <c r="I84" s="2">
        <v>2592</v>
      </c>
      <c r="J84" s="11">
        <v>0.1</v>
      </c>
      <c r="K84" s="2">
        <f t="shared" si="2"/>
        <v>2332.8000000000002</v>
      </c>
      <c r="L84" t="s">
        <v>693</v>
      </c>
      <c r="M84" t="s">
        <v>691</v>
      </c>
      <c r="N84" t="s">
        <v>677</v>
      </c>
    </row>
    <row r="85" spans="1:14" x14ac:dyDescent="0.25">
      <c r="A85" s="10" t="s">
        <v>780</v>
      </c>
      <c r="B85" s="1">
        <v>45971</v>
      </c>
      <c r="C85" s="10" t="s">
        <v>474</v>
      </c>
      <c r="D85" s="10" t="s">
        <v>655</v>
      </c>
      <c r="E85" s="10" t="s">
        <v>735</v>
      </c>
      <c r="F85" t="s">
        <v>736</v>
      </c>
      <c r="G85" s="10" t="s">
        <v>70</v>
      </c>
      <c r="H85" s="3">
        <v>1</v>
      </c>
      <c r="I85" s="2">
        <v>24</v>
      </c>
      <c r="J85" s="11">
        <v>0.15</v>
      </c>
      <c r="K85" s="2">
        <f t="shared" si="2"/>
        <v>20.399999999999999</v>
      </c>
      <c r="L85" t="s">
        <v>693</v>
      </c>
      <c r="M85" t="s">
        <v>676</v>
      </c>
      <c r="N85" t="s">
        <v>683</v>
      </c>
    </row>
    <row r="86" spans="1:14" x14ac:dyDescent="0.25">
      <c r="A86" s="10" t="s">
        <v>781</v>
      </c>
      <c r="B86" s="1">
        <v>45971</v>
      </c>
      <c r="C86" s="10" t="s">
        <v>474</v>
      </c>
      <c r="D86" s="10" t="s">
        <v>647</v>
      </c>
      <c r="E86" s="10" t="s">
        <v>728</v>
      </c>
      <c r="F86" t="s">
        <v>98</v>
      </c>
      <c r="G86" s="10" t="s">
        <v>70</v>
      </c>
      <c r="H86" s="3">
        <v>1</v>
      </c>
      <c r="I86" s="2">
        <v>79</v>
      </c>
      <c r="J86" s="11">
        <v>0.2</v>
      </c>
      <c r="K86" s="2">
        <f t="shared" si="2"/>
        <v>63.2</v>
      </c>
      <c r="L86" t="s">
        <v>675</v>
      </c>
      <c r="M86" t="s">
        <v>676</v>
      </c>
      <c r="N86" t="s">
        <v>677</v>
      </c>
    </row>
    <row r="87" spans="1:14" x14ac:dyDescent="0.25">
      <c r="A87" s="10" t="s">
        <v>782</v>
      </c>
      <c r="B87" s="1">
        <v>45976</v>
      </c>
      <c r="C87" s="10" t="s">
        <v>463</v>
      </c>
      <c r="D87" s="10" t="s">
        <v>647</v>
      </c>
      <c r="E87" s="10" t="s">
        <v>36</v>
      </c>
      <c r="F87" t="s">
        <v>37</v>
      </c>
      <c r="G87" s="10" t="s">
        <v>17</v>
      </c>
      <c r="H87" s="3">
        <v>1</v>
      </c>
      <c r="I87" s="2">
        <v>2517</v>
      </c>
      <c r="J87" s="11">
        <v>0.15</v>
      </c>
      <c r="K87" s="2">
        <f t="shared" si="2"/>
        <v>2139.4499999999998</v>
      </c>
      <c r="L87" t="s">
        <v>693</v>
      </c>
      <c r="M87" t="s">
        <v>691</v>
      </c>
      <c r="N87" t="s">
        <v>677</v>
      </c>
    </row>
    <row r="88" spans="1:14" x14ac:dyDescent="0.25">
      <c r="A88" s="10" t="s">
        <v>783</v>
      </c>
      <c r="B88" s="1">
        <v>45977</v>
      </c>
      <c r="C88" s="10" t="s">
        <v>576</v>
      </c>
      <c r="D88" s="10" t="s">
        <v>658</v>
      </c>
      <c r="E88" s="10" t="s">
        <v>54</v>
      </c>
      <c r="F88" t="s">
        <v>55</v>
      </c>
      <c r="G88" s="10" t="s">
        <v>17</v>
      </c>
      <c r="H88" s="3">
        <v>1</v>
      </c>
      <c r="I88" s="2">
        <v>2877</v>
      </c>
      <c r="J88" s="11">
        <v>0.15</v>
      </c>
      <c r="K88" s="2">
        <f t="shared" si="2"/>
        <v>2445.4499999999998</v>
      </c>
      <c r="L88" t="s">
        <v>679</v>
      </c>
      <c r="M88" t="s">
        <v>685</v>
      </c>
      <c r="N88" t="s">
        <v>705</v>
      </c>
    </row>
    <row r="89" spans="1:14" x14ac:dyDescent="0.25">
      <c r="A89" s="10" t="s">
        <v>784</v>
      </c>
      <c r="B89" s="1">
        <v>45977</v>
      </c>
      <c r="C89" s="10" t="s">
        <v>576</v>
      </c>
      <c r="D89" s="10" t="s">
        <v>658</v>
      </c>
      <c r="E89" s="10" t="s">
        <v>739</v>
      </c>
      <c r="F89" t="s">
        <v>94</v>
      </c>
      <c r="G89" s="10" t="s">
        <v>70</v>
      </c>
      <c r="H89" s="3">
        <v>1</v>
      </c>
      <c r="I89" s="2">
        <v>79</v>
      </c>
      <c r="J89" s="11">
        <v>0.2</v>
      </c>
      <c r="K89" s="2">
        <f t="shared" si="2"/>
        <v>63.2</v>
      </c>
      <c r="L89" t="s">
        <v>679</v>
      </c>
      <c r="M89" t="s">
        <v>685</v>
      </c>
      <c r="N89" t="s">
        <v>705</v>
      </c>
    </row>
    <row r="90" spans="1:14" x14ac:dyDescent="0.25">
      <c r="A90" s="10" t="s">
        <v>785</v>
      </c>
      <c r="B90" s="1">
        <v>45980</v>
      </c>
      <c r="C90" s="10" t="s">
        <v>450</v>
      </c>
      <c r="D90" s="10" t="s">
        <v>613</v>
      </c>
      <c r="E90" s="10" t="s">
        <v>41</v>
      </c>
      <c r="F90" t="s">
        <v>42</v>
      </c>
      <c r="G90" s="10" t="s">
        <v>17</v>
      </c>
      <c r="H90" s="3">
        <v>1</v>
      </c>
      <c r="I90" s="2">
        <v>2497</v>
      </c>
      <c r="J90" s="11">
        <v>0.15</v>
      </c>
      <c r="K90" s="2">
        <f t="shared" si="2"/>
        <v>2122.4499999999998</v>
      </c>
      <c r="L90" t="s">
        <v>693</v>
      </c>
      <c r="M90" t="s">
        <v>676</v>
      </c>
      <c r="N90" t="s">
        <v>683</v>
      </c>
    </row>
    <row r="91" spans="1:14" x14ac:dyDescent="0.25">
      <c r="A91" s="10" t="s">
        <v>786</v>
      </c>
      <c r="B91" s="1">
        <v>45980</v>
      </c>
      <c r="C91" s="10" t="s">
        <v>450</v>
      </c>
      <c r="D91" s="10" t="s">
        <v>613</v>
      </c>
      <c r="E91" s="10" t="s">
        <v>250</v>
      </c>
      <c r="F91" t="s">
        <v>752</v>
      </c>
      <c r="G91" s="10" t="s">
        <v>70</v>
      </c>
      <c r="H91" s="3">
        <v>1</v>
      </c>
      <c r="I91" s="2">
        <v>22</v>
      </c>
      <c r="J91" s="11">
        <v>0.2</v>
      </c>
      <c r="K91" s="2">
        <f t="shared" si="2"/>
        <v>17.600000000000001</v>
      </c>
      <c r="L91" t="s">
        <v>693</v>
      </c>
      <c r="M91" t="s">
        <v>676</v>
      </c>
      <c r="N91" t="s">
        <v>683</v>
      </c>
    </row>
    <row r="92" spans="1:14" x14ac:dyDescent="0.25">
      <c r="A92" s="10" t="s">
        <v>787</v>
      </c>
      <c r="B92" s="1">
        <v>45981</v>
      </c>
      <c r="C92" s="10" t="s">
        <v>569</v>
      </c>
      <c r="D92" s="10" t="s">
        <v>641</v>
      </c>
      <c r="E92" s="10" t="s">
        <v>46</v>
      </c>
      <c r="F92" t="s">
        <v>47</v>
      </c>
      <c r="G92" s="10" t="s">
        <v>17</v>
      </c>
      <c r="H92" s="3">
        <v>1</v>
      </c>
      <c r="I92" s="2">
        <v>2345</v>
      </c>
      <c r="J92" s="11">
        <v>0.15</v>
      </c>
      <c r="K92" s="2">
        <f t="shared" si="2"/>
        <v>1993.25</v>
      </c>
      <c r="L92" t="s">
        <v>679</v>
      </c>
      <c r="M92" t="s">
        <v>676</v>
      </c>
      <c r="N92" t="s">
        <v>683</v>
      </c>
    </row>
    <row r="93" spans="1:14" x14ac:dyDescent="0.25">
      <c r="A93" s="10" t="s">
        <v>788</v>
      </c>
      <c r="B93" s="1">
        <v>45981</v>
      </c>
      <c r="C93" s="10" t="s">
        <v>569</v>
      </c>
      <c r="D93" s="10" t="s">
        <v>641</v>
      </c>
      <c r="E93" s="10" t="s">
        <v>160</v>
      </c>
      <c r="F93" t="s">
        <v>690</v>
      </c>
      <c r="G93" s="10" t="s">
        <v>70</v>
      </c>
      <c r="H93" s="3">
        <v>1</v>
      </c>
      <c r="I93" s="2">
        <v>59</v>
      </c>
      <c r="J93" s="11">
        <v>0.2</v>
      </c>
      <c r="K93" s="2">
        <f t="shared" si="2"/>
        <v>47.2</v>
      </c>
      <c r="L93" t="s">
        <v>679</v>
      </c>
      <c r="M93" t="s">
        <v>676</v>
      </c>
      <c r="N93" t="s">
        <v>683</v>
      </c>
    </row>
    <row r="94" spans="1:14" x14ac:dyDescent="0.25">
      <c r="A94" s="10" t="s">
        <v>789</v>
      </c>
      <c r="B94" s="1">
        <v>45981</v>
      </c>
      <c r="C94" s="10" t="s">
        <v>383</v>
      </c>
      <c r="D94" s="10" t="s">
        <v>653</v>
      </c>
      <c r="E94" s="10" t="s">
        <v>183</v>
      </c>
      <c r="F94" t="s">
        <v>696</v>
      </c>
      <c r="G94" s="10" t="s">
        <v>70</v>
      </c>
      <c r="H94" s="3">
        <v>1</v>
      </c>
      <c r="I94" s="2">
        <v>27</v>
      </c>
      <c r="J94" s="11">
        <v>0.1</v>
      </c>
      <c r="K94" s="2">
        <f t="shared" si="2"/>
        <v>24.3</v>
      </c>
      <c r="L94" t="s">
        <v>675</v>
      </c>
      <c r="M94" t="s">
        <v>680</v>
      </c>
      <c r="N94" t="s">
        <v>683</v>
      </c>
    </row>
    <row r="95" spans="1:14" x14ac:dyDescent="0.25">
      <c r="A95" s="10" t="s">
        <v>790</v>
      </c>
      <c r="B95" s="1">
        <v>45982</v>
      </c>
      <c r="C95" s="10" t="s">
        <v>565</v>
      </c>
      <c r="D95" s="10" t="s">
        <v>628</v>
      </c>
      <c r="E95" s="10" t="s">
        <v>49</v>
      </c>
      <c r="F95" t="s">
        <v>50</v>
      </c>
      <c r="G95" s="10" t="s">
        <v>17</v>
      </c>
      <c r="H95" s="3">
        <v>1</v>
      </c>
      <c r="I95" s="2">
        <v>2222</v>
      </c>
      <c r="J95" s="11">
        <v>0.1</v>
      </c>
      <c r="K95" s="2">
        <f t="shared" si="2"/>
        <v>1999.8</v>
      </c>
      <c r="L95" t="s">
        <v>693</v>
      </c>
      <c r="M95" t="s">
        <v>685</v>
      </c>
      <c r="N95" t="s">
        <v>677</v>
      </c>
    </row>
    <row r="96" spans="1:14" x14ac:dyDescent="0.25">
      <c r="A96" s="10" t="s">
        <v>791</v>
      </c>
      <c r="B96" s="1">
        <v>45984</v>
      </c>
      <c r="C96" s="10" t="s">
        <v>573</v>
      </c>
      <c r="D96" s="10" t="s">
        <v>643</v>
      </c>
      <c r="E96" s="10" t="s">
        <v>57</v>
      </c>
      <c r="F96" t="s">
        <v>58</v>
      </c>
      <c r="G96" s="10" t="s">
        <v>17</v>
      </c>
      <c r="H96" s="3">
        <v>1</v>
      </c>
      <c r="I96" s="2">
        <v>2574</v>
      </c>
      <c r="J96" s="11">
        <v>0.2</v>
      </c>
      <c r="K96" s="2">
        <f t="shared" si="2"/>
        <v>2059.2000000000003</v>
      </c>
      <c r="L96" t="s">
        <v>693</v>
      </c>
      <c r="M96" t="s">
        <v>685</v>
      </c>
      <c r="N96" t="s">
        <v>677</v>
      </c>
    </row>
    <row r="97" spans="1:14" x14ac:dyDescent="0.25">
      <c r="A97" s="10" t="s">
        <v>792</v>
      </c>
      <c r="B97" s="1">
        <v>45986</v>
      </c>
      <c r="C97" s="10" t="s">
        <v>342</v>
      </c>
      <c r="D97" s="10" t="s">
        <v>641</v>
      </c>
      <c r="E97" s="10" t="s">
        <v>64</v>
      </c>
      <c r="F97" t="s">
        <v>65</v>
      </c>
      <c r="G97" s="10" t="s">
        <v>17</v>
      </c>
      <c r="H97" s="3">
        <v>1</v>
      </c>
      <c r="I97" s="2">
        <v>1473</v>
      </c>
      <c r="J97" s="11">
        <v>0.1</v>
      </c>
      <c r="K97" s="2">
        <f t="shared" si="2"/>
        <v>1325.7</v>
      </c>
      <c r="L97" t="s">
        <v>675</v>
      </c>
      <c r="M97" t="s">
        <v>691</v>
      </c>
      <c r="N97" t="s">
        <v>705</v>
      </c>
    </row>
    <row r="98" spans="1:14" x14ac:dyDescent="0.25">
      <c r="A98" s="10" t="s">
        <v>793</v>
      </c>
      <c r="B98" s="1">
        <v>45986</v>
      </c>
      <c r="C98" s="10" t="s">
        <v>573</v>
      </c>
      <c r="D98" s="10" t="s">
        <v>622</v>
      </c>
      <c r="E98" s="10" t="s">
        <v>36</v>
      </c>
      <c r="F98" t="s">
        <v>37</v>
      </c>
      <c r="G98" s="10" t="s">
        <v>17</v>
      </c>
      <c r="H98" s="3">
        <v>1</v>
      </c>
      <c r="I98" s="2">
        <v>2446</v>
      </c>
      <c r="J98" s="11">
        <v>0.1</v>
      </c>
      <c r="K98" s="2">
        <f t="shared" ref="K98:K129" si="3">H98 * I98 * (1 - J98)</f>
        <v>2201.4</v>
      </c>
      <c r="L98" t="s">
        <v>679</v>
      </c>
      <c r="M98" t="s">
        <v>680</v>
      </c>
      <c r="N98" t="s">
        <v>705</v>
      </c>
    </row>
    <row r="99" spans="1:14" x14ac:dyDescent="0.25">
      <c r="A99" s="10" t="s">
        <v>794</v>
      </c>
      <c r="B99" s="1">
        <v>45986</v>
      </c>
      <c r="C99" s="10" t="s">
        <v>342</v>
      </c>
      <c r="D99" s="10" t="s">
        <v>641</v>
      </c>
      <c r="E99" s="10" t="s">
        <v>316</v>
      </c>
      <c r="F99" t="s">
        <v>776</v>
      </c>
      <c r="G99" s="10" t="s">
        <v>70</v>
      </c>
      <c r="H99" s="3">
        <v>1</v>
      </c>
      <c r="I99" s="2">
        <v>34</v>
      </c>
      <c r="J99" s="11">
        <v>0.15</v>
      </c>
      <c r="K99" s="2">
        <f t="shared" si="3"/>
        <v>28.9</v>
      </c>
      <c r="L99" t="s">
        <v>675</v>
      </c>
      <c r="M99" t="s">
        <v>691</v>
      </c>
      <c r="N99" t="s">
        <v>705</v>
      </c>
    </row>
    <row r="100" spans="1:14" x14ac:dyDescent="0.25">
      <c r="A100" s="10" t="s">
        <v>795</v>
      </c>
      <c r="B100" s="1">
        <v>45987</v>
      </c>
      <c r="C100" s="10" t="s">
        <v>439</v>
      </c>
      <c r="D100" s="10" t="s">
        <v>641</v>
      </c>
      <c r="E100" s="10" t="s">
        <v>49</v>
      </c>
      <c r="F100" t="s">
        <v>50</v>
      </c>
      <c r="G100" s="10" t="s">
        <v>17</v>
      </c>
      <c r="H100" s="3">
        <v>1</v>
      </c>
      <c r="I100" s="2">
        <v>2367</v>
      </c>
      <c r="J100" s="11">
        <v>0.15</v>
      </c>
      <c r="K100" s="2">
        <f t="shared" si="3"/>
        <v>2011.95</v>
      </c>
      <c r="L100" t="s">
        <v>693</v>
      </c>
      <c r="M100" t="s">
        <v>676</v>
      </c>
      <c r="N100" t="s">
        <v>705</v>
      </c>
    </row>
    <row r="101" spans="1:14" x14ac:dyDescent="0.25">
      <c r="A101" s="10" t="s">
        <v>796</v>
      </c>
      <c r="B101" s="1">
        <v>45987</v>
      </c>
      <c r="C101" s="10" t="s">
        <v>466</v>
      </c>
      <c r="D101" s="10" t="s">
        <v>622</v>
      </c>
      <c r="E101" s="10" t="s">
        <v>64</v>
      </c>
      <c r="F101" t="s">
        <v>65</v>
      </c>
      <c r="G101" s="10" t="s">
        <v>17</v>
      </c>
      <c r="H101" s="3">
        <v>1</v>
      </c>
      <c r="I101" s="2">
        <v>1574</v>
      </c>
      <c r="J101" s="11">
        <v>0.1</v>
      </c>
      <c r="K101" s="2">
        <f t="shared" si="3"/>
        <v>1416.6000000000001</v>
      </c>
      <c r="L101" t="s">
        <v>693</v>
      </c>
      <c r="M101" t="s">
        <v>676</v>
      </c>
      <c r="N101" t="s">
        <v>677</v>
      </c>
    </row>
    <row r="102" spans="1:14" x14ac:dyDescent="0.25">
      <c r="A102" s="10" t="s">
        <v>797</v>
      </c>
      <c r="B102" s="1">
        <v>45987</v>
      </c>
      <c r="C102" s="10" t="s">
        <v>466</v>
      </c>
      <c r="D102" s="10" t="s">
        <v>622</v>
      </c>
      <c r="E102" s="10" t="s">
        <v>735</v>
      </c>
      <c r="F102" t="s">
        <v>736</v>
      </c>
      <c r="G102" s="10" t="s">
        <v>70</v>
      </c>
      <c r="H102" s="3">
        <v>1</v>
      </c>
      <c r="I102" s="2">
        <v>24</v>
      </c>
      <c r="J102" s="11">
        <v>0.15</v>
      </c>
      <c r="K102" s="2">
        <f t="shared" si="3"/>
        <v>20.399999999999999</v>
      </c>
      <c r="L102" t="s">
        <v>693</v>
      </c>
      <c r="M102" t="s">
        <v>676</v>
      </c>
      <c r="N102" t="s">
        <v>677</v>
      </c>
    </row>
    <row r="103" spans="1:14" x14ac:dyDescent="0.25">
      <c r="A103" s="10" t="s">
        <v>798</v>
      </c>
      <c r="B103" s="1">
        <v>45989</v>
      </c>
      <c r="C103" s="10" t="s">
        <v>425</v>
      </c>
      <c r="D103" s="10" t="s">
        <v>624</v>
      </c>
      <c r="E103" s="10" t="s">
        <v>36</v>
      </c>
      <c r="F103" t="s">
        <v>37</v>
      </c>
      <c r="G103" s="10" t="s">
        <v>17</v>
      </c>
      <c r="H103" s="3">
        <v>1</v>
      </c>
      <c r="I103" s="2">
        <v>2515</v>
      </c>
      <c r="J103" s="11">
        <v>0.15</v>
      </c>
      <c r="K103" s="2">
        <f t="shared" si="3"/>
        <v>2137.75</v>
      </c>
      <c r="L103" t="s">
        <v>675</v>
      </c>
      <c r="M103" t="s">
        <v>685</v>
      </c>
      <c r="N103" t="s">
        <v>677</v>
      </c>
    </row>
    <row r="104" spans="1:14" x14ac:dyDescent="0.25">
      <c r="A104" s="10" t="s">
        <v>799</v>
      </c>
      <c r="B104" s="1">
        <v>45994</v>
      </c>
      <c r="C104" s="10" t="s">
        <v>491</v>
      </c>
      <c r="D104" s="10" t="s">
        <v>655</v>
      </c>
      <c r="E104" s="10" t="s">
        <v>25</v>
      </c>
      <c r="F104" t="s">
        <v>26</v>
      </c>
      <c r="G104" s="10" t="s">
        <v>17</v>
      </c>
      <c r="H104" s="3">
        <v>1</v>
      </c>
      <c r="I104" s="2">
        <v>2282</v>
      </c>
      <c r="J104" s="11">
        <v>0.15</v>
      </c>
      <c r="K104" s="2">
        <f t="shared" si="3"/>
        <v>1939.7</v>
      </c>
      <c r="L104" t="s">
        <v>675</v>
      </c>
      <c r="M104" t="s">
        <v>680</v>
      </c>
      <c r="N104" t="s">
        <v>677</v>
      </c>
    </row>
    <row r="105" spans="1:14" x14ac:dyDescent="0.25">
      <c r="A105" s="10" t="s">
        <v>800</v>
      </c>
      <c r="B105" s="1">
        <v>45996</v>
      </c>
      <c r="C105" s="10" t="s">
        <v>584</v>
      </c>
      <c r="D105" s="10" t="s">
        <v>647</v>
      </c>
      <c r="E105" s="10" t="s">
        <v>57</v>
      </c>
      <c r="F105" t="s">
        <v>58</v>
      </c>
      <c r="G105" s="10" t="s">
        <v>17</v>
      </c>
      <c r="H105" s="3">
        <v>1</v>
      </c>
      <c r="I105" s="2">
        <v>2633</v>
      </c>
      <c r="J105" s="11">
        <v>0.1</v>
      </c>
      <c r="K105" s="2">
        <f t="shared" si="3"/>
        <v>2369.7000000000003</v>
      </c>
      <c r="L105" t="s">
        <v>675</v>
      </c>
      <c r="M105" t="s">
        <v>691</v>
      </c>
      <c r="N105" t="s">
        <v>677</v>
      </c>
    </row>
    <row r="106" spans="1:14" x14ac:dyDescent="0.25">
      <c r="A106" s="10" t="s">
        <v>801</v>
      </c>
      <c r="B106" s="1">
        <v>45996</v>
      </c>
      <c r="C106" s="10" t="s">
        <v>584</v>
      </c>
      <c r="D106" s="10" t="s">
        <v>647</v>
      </c>
      <c r="E106" s="10" t="s">
        <v>206</v>
      </c>
      <c r="F106" t="s">
        <v>688</v>
      </c>
      <c r="G106" s="10" t="s">
        <v>70</v>
      </c>
      <c r="H106" s="3">
        <v>1</v>
      </c>
      <c r="I106" s="2">
        <v>89</v>
      </c>
      <c r="J106" s="11">
        <v>0.15</v>
      </c>
      <c r="K106" s="2">
        <f t="shared" si="3"/>
        <v>75.649999999999991</v>
      </c>
      <c r="L106" t="s">
        <v>675</v>
      </c>
      <c r="M106" t="s">
        <v>691</v>
      </c>
      <c r="N106" t="s">
        <v>677</v>
      </c>
    </row>
    <row r="107" spans="1:14" x14ac:dyDescent="0.25">
      <c r="A107" s="10" t="s">
        <v>802</v>
      </c>
      <c r="B107" s="1">
        <v>45999</v>
      </c>
      <c r="C107" s="10" t="s">
        <v>430</v>
      </c>
      <c r="D107" s="10" t="s">
        <v>658</v>
      </c>
      <c r="E107" s="10" t="s">
        <v>49</v>
      </c>
      <c r="F107" t="s">
        <v>50</v>
      </c>
      <c r="G107" s="10" t="s">
        <v>17</v>
      </c>
      <c r="H107" s="3">
        <v>1</v>
      </c>
      <c r="I107" s="2">
        <v>2457</v>
      </c>
      <c r="J107" s="11">
        <v>0.1</v>
      </c>
      <c r="K107" s="2">
        <f t="shared" si="3"/>
        <v>2211.3000000000002</v>
      </c>
      <c r="L107" t="s">
        <v>679</v>
      </c>
      <c r="M107" t="s">
        <v>685</v>
      </c>
      <c r="N107" t="s">
        <v>683</v>
      </c>
    </row>
    <row r="108" spans="1:14" x14ac:dyDescent="0.25">
      <c r="A108" s="10" t="s">
        <v>803</v>
      </c>
      <c r="B108" s="1">
        <v>45999</v>
      </c>
      <c r="C108" s="10" t="s">
        <v>537</v>
      </c>
      <c r="D108" s="10" t="s">
        <v>638</v>
      </c>
      <c r="E108" s="10" t="s">
        <v>54</v>
      </c>
      <c r="F108" t="s">
        <v>55</v>
      </c>
      <c r="G108" s="10" t="s">
        <v>17</v>
      </c>
      <c r="H108" s="3">
        <v>1</v>
      </c>
      <c r="I108" s="2">
        <v>2808</v>
      </c>
      <c r="J108" s="11">
        <v>0.15</v>
      </c>
      <c r="K108" s="2">
        <f t="shared" si="3"/>
        <v>2386.7999999999997</v>
      </c>
      <c r="L108" t="s">
        <v>693</v>
      </c>
      <c r="M108" t="s">
        <v>691</v>
      </c>
      <c r="N108" t="s">
        <v>677</v>
      </c>
    </row>
    <row r="109" spans="1:14" x14ac:dyDescent="0.25">
      <c r="A109" s="10" t="s">
        <v>804</v>
      </c>
      <c r="B109" s="1">
        <v>45999</v>
      </c>
      <c r="C109" s="10" t="s">
        <v>537</v>
      </c>
      <c r="D109" s="10" t="s">
        <v>638</v>
      </c>
      <c r="E109" s="10" t="s">
        <v>316</v>
      </c>
      <c r="F109" t="s">
        <v>776</v>
      </c>
      <c r="G109" s="10" t="s">
        <v>70</v>
      </c>
      <c r="H109" s="3">
        <v>1</v>
      </c>
      <c r="I109" s="2">
        <v>34</v>
      </c>
      <c r="J109" s="11">
        <v>0.2</v>
      </c>
      <c r="K109" s="2">
        <f t="shared" si="3"/>
        <v>27.200000000000003</v>
      </c>
      <c r="L109" t="s">
        <v>693</v>
      </c>
      <c r="M109" t="s">
        <v>691</v>
      </c>
      <c r="N109" t="s">
        <v>677</v>
      </c>
    </row>
    <row r="110" spans="1:14" x14ac:dyDescent="0.25">
      <c r="A110" s="10" t="s">
        <v>805</v>
      </c>
      <c r="B110" s="1">
        <v>46001</v>
      </c>
      <c r="C110" s="10" t="s">
        <v>474</v>
      </c>
      <c r="D110" s="10" t="s">
        <v>641</v>
      </c>
      <c r="E110" s="10" t="s">
        <v>29</v>
      </c>
      <c r="F110" t="s">
        <v>30</v>
      </c>
      <c r="G110" s="10" t="s">
        <v>17</v>
      </c>
      <c r="H110" s="3">
        <v>1</v>
      </c>
      <c r="I110" s="2">
        <v>2157</v>
      </c>
      <c r="J110" s="11">
        <v>0.1</v>
      </c>
      <c r="K110" s="2">
        <f t="shared" si="3"/>
        <v>1941.3</v>
      </c>
      <c r="L110" t="s">
        <v>693</v>
      </c>
      <c r="M110" t="s">
        <v>691</v>
      </c>
      <c r="N110" t="s">
        <v>677</v>
      </c>
    </row>
    <row r="111" spans="1:14" x14ac:dyDescent="0.25">
      <c r="A111" s="10" t="s">
        <v>806</v>
      </c>
      <c r="B111" s="1">
        <v>46002</v>
      </c>
      <c r="C111" s="10" t="s">
        <v>466</v>
      </c>
      <c r="D111" s="10" t="s">
        <v>628</v>
      </c>
      <c r="E111" s="10" t="s">
        <v>57</v>
      </c>
      <c r="F111" t="s">
        <v>58</v>
      </c>
      <c r="G111" s="10" t="s">
        <v>17</v>
      </c>
      <c r="H111" s="3">
        <v>1</v>
      </c>
      <c r="I111" s="2">
        <v>2531</v>
      </c>
      <c r="J111" s="11">
        <v>0.2</v>
      </c>
      <c r="K111" s="2">
        <f t="shared" si="3"/>
        <v>2024.8000000000002</v>
      </c>
      <c r="L111" t="s">
        <v>693</v>
      </c>
      <c r="M111" t="s">
        <v>691</v>
      </c>
      <c r="N111" t="s">
        <v>677</v>
      </c>
    </row>
    <row r="112" spans="1:14" x14ac:dyDescent="0.25">
      <c r="A112" s="10" t="s">
        <v>807</v>
      </c>
      <c r="B112" s="1">
        <v>46004</v>
      </c>
      <c r="C112" s="10" t="s">
        <v>549</v>
      </c>
      <c r="D112" s="10" t="s">
        <v>632</v>
      </c>
      <c r="E112" s="10" t="s">
        <v>29</v>
      </c>
      <c r="F112" t="s">
        <v>30</v>
      </c>
      <c r="G112" s="10" t="s">
        <v>17</v>
      </c>
      <c r="H112" s="3">
        <v>1</v>
      </c>
      <c r="I112" s="2">
        <v>1959</v>
      </c>
      <c r="J112" s="11">
        <v>0.2</v>
      </c>
      <c r="K112" s="2">
        <f t="shared" si="3"/>
        <v>1567.2</v>
      </c>
      <c r="L112" t="s">
        <v>693</v>
      </c>
      <c r="M112" t="s">
        <v>691</v>
      </c>
      <c r="N112" t="s">
        <v>677</v>
      </c>
    </row>
    <row r="113" spans="1:14" x14ac:dyDescent="0.25">
      <c r="A113" s="10" t="s">
        <v>808</v>
      </c>
      <c r="B113" s="1">
        <v>46005</v>
      </c>
      <c r="C113" s="10" t="s">
        <v>530</v>
      </c>
      <c r="D113" s="10" t="s">
        <v>630</v>
      </c>
      <c r="E113" s="10" t="s">
        <v>54</v>
      </c>
      <c r="F113" t="s">
        <v>55</v>
      </c>
      <c r="G113" s="10" t="s">
        <v>17</v>
      </c>
      <c r="H113" s="3">
        <v>1</v>
      </c>
      <c r="I113" s="2">
        <v>2870</v>
      </c>
      <c r="J113" s="11">
        <v>0.2</v>
      </c>
      <c r="K113" s="2">
        <f t="shared" si="3"/>
        <v>2296</v>
      </c>
      <c r="L113" t="s">
        <v>675</v>
      </c>
      <c r="M113" t="s">
        <v>685</v>
      </c>
      <c r="N113" t="s">
        <v>683</v>
      </c>
    </row>
    <row r="114" spans="1:14" x14ac:dyDescent="0.25">
      <c r="A114" s="10" t="s">
        <v>809</v>
      </c>
      <c r="B114" s="1">
        <v>46005</v>
      </c>
      <c r="C114" s="10" t="s">
        <v>530</v>
      </c>
      <c r="D114" s="10" t="s">
        <v>649</v>
      </c>
      <c r="E114" s="10" t="s">
        <v>29</v>
      </c>
      <c r="F114" t="s">
        <v>30</v>
      </c>
      <c r="G114" s="10" t="s">
        <v>17</v>
      </c>
      <c r="H114" s="3">
        <v>1</v>
      </c>
      <c r="I114" s="2">
        <v>2065</v>
      </c>
      <c r="J114" s="11">
        <v>0.1</v>
      </c>
      <c r="K114" s="2">
        <f t="shared" si="3"/>
        <v>1858.5</v>
      </c>
      <c r="L114" t="s">
        <v>693</v>
      </c>
      <c r="M114" t="s">
        <v>680</v>
      </c>
      <c r="N114" t="s">
        <v>677</v>
      </c>
    </row>
    <row r="115" spans="1:14" x14ac:dyDescent="0.25">
      <c r="A115" s="10" t="s">
        <v>810</v>
      </c>
      <c r="B115" s="1">
        <v>46005</v>
      </c>
      <c r="C115" s="10" t="s">
        <v>530</v>
      </c>
      <c r="D115" s="10" t="s">
        <v>630</v>
      </c>
      <c r="E115" s="10" t="s">
        <v>739</v>
      </c>
      <c r="F115" t="s">
        <v>94</v>
      </c>
      <c r="G115" s="10" t="s">
        <v>70</v>
      </c>
      <c r="H115" s="3">
        <v>1</v>
      </c>
      <c r="I115" s="2">
        <v>79</v>
      </c>
      <c r="J115" s="11">
        <v>0.15</v>
      </c>
      <c r="K115" s="2">
        <f t="shared" si="3"/>
        <v>67.149999999999991</v>
      </c>
      <c r="L115" t="s">
        <v>675</v>
      </c>
      <c r="M115" t="s">
        <v>685</v>
      </c>
      <c r="N115" t="s">
        <v>683</v>
      </c>
    </row>
    <row r="116" spans="1:14" x14ac:dyDescent="0.25">
      <c r="A116" s="10" t="s">
        <v>811</v>
      </c>
      <c r="B116" s="1">
        <v>46007</v>
      </c>
      <c r="C116" s="10" t="s">
        <v>383</v>
      </c>
      <c r="D116" s="10" t="s">
        <v>643</v>
      </c>
      <c r="E116" s="10" t="s">
        <v>15</v>
      </c>
      <c r="F116" t="s">
        <v>16</v>
      </c>
      <c r="G116" s="10" t="s">
        <v>17</v>
      </c>
      <c r="H116" s="3">
        <v>1</v>
      </c>
      <c r="I116" s="2">
        <v>2330</v>
      </c>
      <c r="J116" s="11">
        <v>0.15</v>
      </c>
      <c r="K116" s="2">
        <f t="shared" si="3"/>
        <v>1980.5</v>
      </c>
      <c r="L116" t="s">
        <v>693</v>
      </c>
      <c r="M116" t="s">
        <v>680</v>
      </c>
      <c r="N116" t="s">
        <v>677</v>
      </c>
    </row>
    <row r="117" spans="1:14" x14ac:dyDescent="0.25">
      <c r="A117" s="10" t="s">
        <v>812</v>
      </c>
      <c r="B117" s="1">
        <v>46007</v>
      </c>
      <c r="C117" s="10" t="s">
        <v>598</v>
      </c>
      <c r="D117" s="10" t="s">
        <v>658</v>
      </c>
      <c r="E117" s="10" t="s">
        <v>41</v>
      </c>
      <c r="F117" t="s">
        <v>42</v>
      </c>
      <c r="G117" s="10" t="s">
        <v>17</v>
      </c>
      <c r="H117" s="3">
        <v>1</v>
      </c>
      <c r="I117" s="2">
        <v>2345</v>
      </c>
      <c r="J117" s="11">
        <v>0.1</v>
      </c>
      <c r="K117" s="2">
        <f t="shared" si="3"/>
        <v>2110.5</v>
      </c>
      <c r="L117" t="s">
        <v>675</v>
      </c>
      <c r="M117" t="s">
        <v>691</v>
      </c>
      <c r="N117" t="s">
        <v>677</v>
      </c>
    </row>
    <row r="118" spans="1:14" x14ac:dyDescent="0.25">
      <c r="A118" s="10" t="s">
        <v>813</v>
      </c>
      <c r="B118" s="1">
        <v>46007</v>
      </c>
      <c r="C118" s="10" t="s">
        <v>383</v>
      </c>
      <c r="D118" s="10" t="s">
        <v>643</v>
      </c>
      <c r="E118" s="10" t="s">
        <v>316</v>
      </c>
      <c r="F118" t="s">
        <v>776</v>
      </c>
      <c r="G118" s="10" t="s">
        <v>70</v>
      </c>
      <c r="H118" s="3">
        <v>2</v>
      </c>
      <c r="I118" s="2">
        <v>34</v>
      </c>
      <c r="J118" s="11">
        <v>0.2</v>
      </c>
      <c r="K118" s="2">
        <f t="shared" si="3"/>
        <v>54.400000000000006</v>
      </c>
      <c r="L118" t="s">
        <v>693</v>
      </c>
      <c r="M118" t="s">
        <v>680</v>
      </c>
      <c r="N118" t="s">
        <v>677</v>
      </c>
    </row>
    <row r="119" spans="1:14" x14ac:dyDescent="0.25">
      <c r="A119" s="10" t="s">
        <v>814</v>
      </c>
      <c r="B119" s="1">
        <v>46007</v>
      </c>
      <c r="C119" s="10" t="s">
        <v>598</v>
      </c>
      <c r="D119" s="10" t="s">
        <v>658</v>
      </c>
      <c r="E119" s="10" t="s">
        <v>183</v>
      </c>
      <c r="F119" t="s">
        <v>696</v>
      </c>
      <c r="G119" s="10" t="s">
        <v>70</v>
      </c>
      <c r="H119" s="3">
        <v>1</v>
      </c>
      <c r="I119" s="2">
        <v>27</v>
      </c>
      <c r="J119" s="11">
        <v>0.15</v>
      </c>
      <c r="K119" s="2">
        <f t="shared" si="3"/>
        <v>22.95</v>
      </c>
      <c r="L119" t="s">
        <v>675</v>
      </c>
      <c r="M119" t="s">
        <v>691</v>
      </c>
      <c r="N119" t="s">
        <v>677</v>
      </c>
    </row>
    <row r="120" spans="1:14" x14ac:dyDescent="0.25">
      <c r="A120" s="10" t="s">
        <v>815</v>
      </c>
      <c r="B120" s="1">
        <v>46009</v>
      </c>
      <c r="C120" s="10" t="s">
        <v>479</v>
      </c>
      <c r="D120" s="10" t="s">
        <v>626</v>
      </c>
      <c r="E120" s="10" t="s">
        <v>38</v>
      </c>
      <c r="F120" t="s">
        <v>39</v>
      </c>
      <c r="G120" s="10" t="s">
        <v>17</v>
      </c>
      <c r="H120" s="3">
        <v>1</v>
      </c>
      <c r="I120" s="2">
        <v>2551</v>
      </c>
      <c r="J120" s="11">
        <v>0.1</v>
      </c>
      <c r="K120" s="2">
        <f t="shared" si="3"/>
        <v>2295.9</v>
      </c>
      <c r="L120" t="s">
        <v>679</v>
      </c>
      <c r="M120" t="s">
        <v>691</v>
      </c>
      <c r="N120" t="s">
        <v>683</v>
      </c>
    </row>
    <row r="121" spans="1:14" x14ac:dyDescent="0.25">
      <c r="A121" s="10" t="s">
        <v>816</v>
      </c>
      <c r="B121" s="1">
        <v>46010</v>
      </c>
      <c r="C121" s="10" t="s">
        <v>415</v>
      </c>
      <c r="D121" s="10" t="s">
        <v>638</v>
      </c>
      <c r="E121" s="10" t="s">
        <v>59</v>
      </c>
      <c r="F121" t="s">
        <v>60</v>
      </c>
      <c r="G121" s="10" t="s">
        <v>17</v>
      </c>
      <c r="H121" s="3">
        <v>1</v>
      </c>
      <c r="I121" s="2">
        <v>1582</v>
      </c>
      <c r="J121" s="11">
        <v>0.1</v>
      </c>
      <c r="K121" s="2">
        <f t="shared" si="3"/>
        <v>1423.8</v>
      </c>
      <c r="L121" t="s">
        <v>675</v>
      </c>
      <c r="M121" t="s">
        <v>680</v>
      </c>
      <c r="N121" t="s">
        <v>677</v>
      </c>
    </row>
    <row r="122" spans="1:14" x14ac:dyDescent="0.25">
      <c r="A122" s="10" t="s">
        <v>817</v>
      </c>
      <c r="B122" s="1">
        <v>46010</v>
      </c>
      <c r="C122" s="10" t="s">
        <v>415</v>
      </c>
      <c r="D122" s="10" t="s">
        <v>638</v>
      </c>
      <c r="E122" s="10" t="s">
        <v>338</v>
      </c>
      <c r="F122" t="s">
        <v>339</v>
      </c>
      <c r="G122" s="10" t="s">
        <v>70</v>
      </c>
      <c r="H122" s="3">
        <v>1</v>
      </c>
      <c r="I122" s="2">
        <v>29</v>
      </c>
      <c r="J122" s="11">
        <v>0.15</v>
      </c>
      <c r="K122" s="2">
        <f t="shared" si="3"/>
        <v>24.65</v>
      </c>
      <c r="L122" t="s">
        <v>675</v>
      </c>
      <c r="M122" t="s">
        <v>680</v>
      </c>
      <c r="N122" t="s">
        <v>677</v>
      </c>
    </row>
    <row r="123" spans="1:14" x14ac:dyDescent="0.25">
      <c r="A123" s="10" t="s">
        <v>818</v>
      </c>
      <c r="B123" s="1">
        <v>46011</v>
      </c>
      <c r="C123" s="10" t="s">
        <v>415</v>
      </c>
      <c r="D123" s="10" t="s">
        <v>658</v>
      </c>
      <c r="E123" s="10" t="s">
        <v>57</v>
      </c>
      <c r="F123" t="s">
        <v>58</v>
      </c>
      <c r="G123" s="10" t="s">
        <v>17</v>
      </c>
      <c r="H123" s="3">
        <v>1</v>
      </c>
      <c r="I123" s="2">
        <v>2656</v>
      </c>
      <c r="J123" s="11">
        <v>0.2</v>
      </c>
      <c r="K123" s="2">
        <f t="shared" si="3"/>
        <v>2124.8000000000002</v>
      </c>
      <c r="L123" t="s">
        <v>693</v>
      </c>
      <c r="M123" t="s">
        <v>676</v>
      </c>
      <c r="N123" t="s">
        <v>677</v>
      </c>
    </row>
    <row r="124" spans="1:14" x14ac:dyDescent="0.25">
      <c r="A124" s="10" t="s">
        <v>819</v>
      </c>
      <c r="B124" s="1">
        <v>46012</v>
      </c>
      <c r="C124" s="10" t="s">
        <v>365</v>
      </c>
      <c r="D124" s="10" t="s">
        <v>613</v>
      </c>
      <c r="E124" s="10" t="s">
        <v>41</v>
      </c>
      <c r="F124" t="s">
        <v>42</v>
      </c>
      <c r="G124" s="10" t="s">
        <v>17</v>
      </c>
      <c r="H124" s="3">
        <v>1</v>
      </c>
      <c r="I124" s="2">
        <v>2500</v>
      </c>
      <c r="J124" s="11">
        <v>0.1</v>
      </c>
      <c r="K124" s="2">
        <f t="shared" si="3"/>
        <v>2250</v>
      </c>
      <c r="L124" t="s">
        <v>679</v>
      </c>
      <c r="M124" t="s">
        <v>685</v>
      </c>
      <c r="N124" t="s">
        <v>683</v>
      </c>
    </row>
    <row r="125" spans="1:14" x14ac:dyDescent="0.25">
      <c r="A125" s="10" t="s">
        <v>820</v>
      </c>
      <c r="B125" s="1">
        <v>46012</v>
      </c>
      <c r="C125" s="10" t="s">
        <v>365</v>
      </c>
      <c r="D125" s="10" t="s">
        <v>613</v>
      </c>
      <c r="E125" s="10" t="s">
        <v>728</v>
      </c>
      <c r="F125" t="s">
        <v>98</v>
      </c>
      <c r="G125" s="10" t="s">
        <v>70</v>
      </c>
      <c r="H125" s="3">
        <v>1</v>
      </c>
      <c r="I125" s="2">
        <v>79</v>
      </c>
      <c r="J125" s="11">
        <v>0.15</v>
      </c>
      <c r="K125" s="2">
        <f t="shared" si="3"/>
        <v>67.149999999999991</v>
      </c>
      <c r="L125" t="s">
        <v>679</v>
      </c>
      <c r="M125" t="s">
        <v>685</v>
      </c>
      <c r="N125" t="s">
        <v>683</v>
      </c>
    </row>
    <row r="126" spans="1:14" x14ac:dyDescent="0.25">
      <c r="A126" s="10" t="s">
        <v>821</v>
      </c>
      <c r="B126" s="1">
        <v>46019</v>
      </c>
      <c r="C126" s="10" t="s">
        <v>415</v>
      </c>
      <c r="D126" s="10" t="s">
        <v>647</v>
      </c>
      <c r="E126" s="10" t="s">
        <v>36</v>
      </c>
      <c r="F126" t="s">
        <v>37</v>
      </c>
      <c r="G126" s="10" t="s">
        <v>17</v>
      </c>
      <c r="H126" s="3">
        <v>1</v>
      </c>
      <c r="I126" s="2">
        <v>2713</v>
      </c>
      <c r="J126" s="11">
        <v>0.1</v>
      </c>
      <c r="K126" s="2">
        <f t="shared" si="3"/>
        <v>2441.7000000000003</v>
      </c>
      <c r="L126" t="s">
        <v>693</v>
      </c>
      <c r="M126" t="s">
        <v>680</v>
      </c>
      <c r="N126" t="s">
        <v>677</v>
      </c>
    </row>
    <row r="127" spans="1:14" x14ac:dyDescent="0.25">
      <c r="A127" s="10" t="s">
        <v>822</v>
      </c>
      <c r="B127" s="1">
        <v>46020</v>
      </c>
      <c r="C127" s="10" t="s">
        <v>410</v>
      </c>
      <c r="D127" s="10" t="s">
        <v>636</v>
      </c>
      <c r="E127" s="10" t="s">
        <v>15</v>
      </c>
      <c r="F127" t="s">
        <v>16</v>
      </c>
      <c r="G127" s="10" t="s">
        <v>17</v>
      </c>
      <c r="H127" s="3">
        <v>1</v>
      </c>
      <c r="I127" s="2">
        <v>2501</v>
      </c>
      <c r="J127" s="11">
        <v>0</v>
      </c>
      <c r="K127" s="2">
        <f t="shared" si="3"/>
        <v>2501</v>
      </c>
      <c r="L127" t="s">
        <v>693</v>
      </c>
      <c r="M127" t="s">
        <v>685</v>
      </c>
      <c r="N127" t="s">
        <v>683</v>
      </c>
    </row>
    <row r="128" spans="1:14" x14ac:dyDescent="0.25">
      <c r="A128" s="10" t="s">
        <v>823</v>
      </c>
      <c r="B128" s="1">
        <v>46025</v>
      </c>
      <c r="C128" s="10" t="s">
        <v>459</v>
      </c>
      <c r="D128" s="10" t="s">
        <v>643</v>
      </c>
      <c r="E128" s="10" t="s">
        <v>33</v>
      </c>
      <c r="F128" t="s">
        <v>34</v>
      </c>
      <c r="G128" s="10" t="s">
        <v>17</v>
      </c>
      <c r="H128" s="3">
        <v>1</v>
      </c>
      <c r="I128" s="2">
        <v>2445</v>
      </c>
      <c r="J128" s="11">
        <v>0.1</v>
      </c>
      <c r="K128" s="2">
        <f t="shared" si="3"/>
        <v>2200.5</v>
      </c>
      <c r="L128" t="s">
        <v>675</v>
      </c>
      <c r="M128" t="s">
        <v>680</v>
      </c>
      <c r="N128" t="s">
        <v>677</v>
      </c>
    </row>
    <row r="129" spans="1:14" x14ac:dyDescent="0.25">
      <c r="A129" s="10" t="s">
        <v>824</v>
      </c>
      <c r="B129" s="1">
        <v>46025</v>
      </c>
      <c r="C129" s="10" t="s">
        <v>459</v>
      </c>
      <c r="D129" s="10" t="s">
        <v>643</v>
      </c>
      <c r="E129" s="10" t="s">
        <v>338</v>
      </c>
      <c r="F129" t="s">
        <v>339</v>
      </c>
      <c r="G129" s="10" t="s">
        <v>70</v>
      </c>
      <c r="H129" s="3">
        <v>1</v>
      </c>
      <c r="I129" s="2">
        <v>29</v>
      </c>
      <c r="J129" s="11">
        <v>0.15</v>
      </c>
      <c r="K129" s="2">
        <f t="shared" si="3"/>
        <v>24.65</v>
      </c>
      <c r="L129" t="s">
        <v>675</v>
      </c>
      <c r="M129" t="s">
        <v>680</v>
      </c>
      <c r="N129" t="s">
        <v>677</v>
      </c>
    </row>
    <row r="130" spans="1:14" x14ac:dyDescent="0.25">
      <c r="A130" s="10" t="s">
        <v>825</v>
      </c>
      <c r="B130" s="1">
        <v>46026</v>
      </c>
      <c r="C130" s="10" t="s">
        <v>389</v>
      </c>
      <c r="D130" s="10" t="s">
        <v>655</v>
      </c>
      <c r="E130" s="10" t="s">
        <v>38</v>
      </c>
      <c r="F130" t="s">
        <v>39</v>
      </c>
      <c r="G130" s="10" t="s">
        <v>17</v>
      </c>
      <c r="H130" s="3">
        <v>1</v>
      </c>
      <c r="I130" s="2">
        <v>2505</v>
      </c>
      <c r="J130" s="11">
        <v>0.15</v>
      </c>
      <c r="K130" s="2">
        <f t="shared" ref="K130:K161" si="4">H130 * I130 * (1 - J130)</f>
        <v>2129.25</v>
      </c>
      <c r="L130" t="s">
        <v>693</v>
      </c>
      <c r="M130" t="s">
        <v>691</v>
      </c>
      <c r="N130" t="s">
        <v>677</v>
      </c>
    </row>
    <row r="131" spans="1:14" x14ac:dyDescent="0.25">
      <c r="A131" s="10" t="s">
        <v>826</v>
      </c>
      <c r="B131" s="1">
        <v>46026</v>
      </c>
      <c r="C131" s="10" t="s">
        <v>514</v>
      </c>
      <c r="D131" s="10" t="s">
        <v>641</v>
      </c>
      <c r="E131" s="10" t="s">
        <v>49</v>
      </c>
      <c r="F131" t="s">
        <v>50</v>
      </c>
      <c r="G131" s="10" t="s">
        <v>17</v>
      </c>
      <c r="H131" s="3">
        <v>1</v>
      </c>
      <c r="I131" s="2">
        <v>2402</v>
      </c>
      <c r="J131" s="11">
        <v>0</v>
      </c>
      <c r="K131" s="2">
        <f t="shared" si="4"/>
        <v>2402</v>
      </c>
      <c r="L131" t="s">
        <v>679</v>
      </c>
      <c r="M131" t="s">
        <v>680</v>
      </c>
      <c r="N131" t="s">
        <v>683</v>
      </c>
    </row>
    <row r="132" spans="1:14" x14ac:dyDescent="0.25">
      <c r="A132" s="10" t="s">
        <v>827</v>
      </c>
      <c r="B132" s="1">
        <v>46026</v>
      </c>
      <c r="C132" s="10" t="s">
        <v>500</v>
      </c>
      <c r="D132" s="10" t="s">
        <v>658</v>
      </c>
      <c r="E132" s="10" t="s">
        <v>46</v>
      </c>
      <c r="F132" t="s">
        <v>47</v>
      </c>
      <c r="G132" s="10" t="s">
        <v>17</v>
      </c>
      <c r="H132" s="3">
        <v>1</v>
      </c>
      <c r="I132" s="2">
        <v>2420</v>
      </c>
      <c r="J132" s="11">
        <v>0.1</v>
      </c>
      <c r="K132" s="2">
        <f t="shared" si="4"/>
        <v>2178</v>
      </c>
      <c r="L132" t="s">
        <v>679</v>
      </c>
      <c r="M132" t="s">
        <v>691</v>
      </c>
      <c r="N132" t="s">
        <v>683</v>
      </c>
    </row>
    <row r="133" spans="1:14" x14ac:dyDescent="0.25">
      <c r="A133" s="10" t="s">
        <v>828</v>
      </c>
      <c r="B133" s="1">
        <v>46026</v>
      </c>
      <c r="C133" s="10" t="s">
        <v>500</v>
      </c>
      <c r="D133" s="10" t="s">
        <v>658</v>
      </c>
      <c r="E133" s="10" t="s">
        <v>183</v>
      </c>
      <c r="F133" t="s">
        <v>696</v>
      </c>
      <c r="G133" s="10" t="s">
        <v>70</v>
      </c>
      <c r="H133" s="3">
        <v>1</v>
      </c>
      <c r="I133" s="2">
        <v>27</v>
      </c>
      <c r="J133" s="11">
        <v>0.15</v>
      </c>
      <c r="K133" s="2">
        <f t="shared" si="4"/>
        <v>22.95</v>
      </c>
      <c r="L133" t="s">
        <v>679</v>
      </c>
      <c r="M133" t="s">
        <v>691</v>
      </c>
      <c r="N133" t="s">
        <v>683</v>
      </c>
    </row>
    <row r="134" spans="1:14" x14ac:dyDescent="0.25">
      <c r="A134" s="10" t="s">
        <v>829</v>
      </c>
      <c r="B134" s="1">
        <v>46028</v>
      </c>
      <c r="C134" s="10" t="s">
        <v>552</v>
      </c>
      <c r="D134" s="10" t="s">
        <v>624</v>
      </c>
      <c r="E134" s="10" t="s">
        <v>29</v>
      </c>
      <c r="F134" t="s">
        <v>30</v>
      </c>
      <c r="G134" s="10" t="s">
        <v>17</v>
      </c>
      <c r="H134" s="3">
        <v>1</v>
      </c>
      <c r="I134" s="2">
        <v>2179</v>
      </c>
      <c r="J134" s="11">
        <v>0.1</v>
      </c>
      <c r="K134" s="2">
        <f t="shared" si="4"/>
        <v>1961.1000000000001</v>
      </c>
      <c r="L134" t="s">
        <v>693</v>
      </c>
      <c r="M134" t="s">
        <v>691</v>
      </c>
      <c r="N134" t="s">
        <v>705</v>
      </c>
    </row>
    <row r="135" spans="1:14" x14ac:dyDescent="0.25">
      <c r="A135" s="10" t="s">
        <v>830</v>
      </c>
      <c r="B135" s="1">
        <v>46028</v>
      </c>
      <c r="C135" s="10" t="s">
        <v>552</v>
      </c>
      <c r="D135" s="10" t="s">
        <v>624</v>
      </c>
      <c r="E135" s="10" t="s">
        <v>206</v>
      </c>
      <c r="F135" t="s">
        <v>688</v>
      </c>
      <c r="G135" s="10" t="s">
        <v>70</v>
      </c>
      <c r="H135" s="3">
        <v>2</v>
      </c>
      <c r="I135" s="2">
        <v>89</v>
      </c>
      <c r="J135" s="11">
        <v>0.15</v>
      </c>
      <c r="K135" s="2">
        <f t="shared" si="4"/>
        <v>151.29999999999998</v>
      </c>
      <c r="L135" t="s">
        <v>693</v>
      </c>
      <c r="M135" t="s">
        <v>691</v>
      </c>
      <c r="N135" t="s">
        <v>705</v>
      </c>
    </row>
    <row r="136" spans="1:14" x14ac:dyDescent="0.25">
      <c r="A136" s="10" t="s">
        <v>831</v>
      </c>
      <c r="B136" s="1">
        <v>46029</v>
      </c>
      <c r="C136" s="10" t="s">
        <v>444</v>
      </c>
      <c r="D136" s="10" t="s">
        <v>658</v>
      </c>
      <c r="E136" s="10" t="s">
        <v>38</v>
      </c>
      <c r="F136" t="s">
        <v>39</v>
      </c>
      <c r="G136" s="10" t="s">
        <v>17</v>
      </c>
      <c r="H136" s="3">
        <v>1</v>
      </c>
      <c r="I136" s="2">
        <v>2683</v>
      </c>
      <c r="J136" s="11">
        <v>0.15</v>
      </c>
      <c r="K136" s="2">
        <f t="shared" si="4"/>
        <v>2280.5499999999997</v>
      </c>
      <c r="L136" t="s">
        <v>693</v>
      </c>
      <c r="M136" t="s">
        <v>685</v>
      </c>
      <c r="N136" t="s">
        <v>677</v>
      </c>
    </row>
    <row r="137" spans="1:14" x14ac:dyDescent="0.25">
      <c r="A137" s="10" t="s">
        <v>832</v>
      </c>
      <c r="B137" s="1">
        <v>46029</v>
      </c>
      <c r="C137" s="10" t="s">
        <v>444</v>
      </c>
      <c r="D137" s="10" t="s">
        <v>658</v>
      </c>
      <c r="E137" s="10" t="s">
        <v>250</v>
      </c>
      <c r="F137" t="s">
        <v>752</v>
      </c>
      <c r="G137" s="10" t="s">
        <v>70</v>
      </c>
      <c r="H137" s="3">
        <v>1</v>
      </c>
      <c r="I137" s="2">
        <v>22</v>
      </c>
      <c r="J137" s="11">
        <v>0.2</v>
      </c>
      <c r="K137" s="2">
        <f t="shared" si="4"/>
        <v>17.600000000000001</v>
      </c>
      <c r="L137" t="s">
        <v>693</v>
      </c>
      <c r="M137" t="s">
        <v>685</v>
      </c>
      <c r="N137" t="s">
        <v>677</v>
      </c>
    </row>
    <row r="138" spans="1:14" x14ac:dyDescent="0.25">
      <c r="A138" s="10" t="s">
        <v>833</v>
      </c>
      <c r="B138" s="1">
        <v>46030</v>
      </c>
      <c r="C138" s="10" t="s">
        <v>557</v>
      </c>
      <c r="D138" s="10" t="s">
        <v>636</v>
      </c>
      <c r="E138" s="10" t="s">
        <v>15</v>
      </c>
      <c r="F138" t="s">
        <v>16</v>
      </c>
      <c r="G138" s="10" t="s">
        <v>17</v>
      </c>
      <c r="H138" s="3">
        <v>1</v>
      </c>
      <c r="I138" s="2">
        <v>2289</v>
      </c>
      <c r="J138" s="11">
        <v>0.2</v>
      </c>
      <c r="K138" s="2">
        <f t="shared" si="4"/>
        <v>1831.2</v>
      </c>
      <c r="L138" t="s">
        <v>693</v>
      </c>
      <c r="M138" t="s">
        <v>680</v>
      </c>
      <c r="N138" t="s">
        <v>677</v>
      </c>
    </row>
    <row r="139" spans="1:14" x14ac:dyDescent="0.25">
      <c r="A139" s="10" t="s">
        <v>834</v>
      </c>
      <c r="B139" s="1">
        <v>46030</v>
      </c>
      <c r="C139" s="10" t="s">
        <v>483</v>
      </c>
      <c r="D139" s="10" t="s">
        <v>658</v>
      </c>
      <c r="E139" s="10" t="s">
        <v>64</v>
      </c>
      <c r="F139" t="s">
        <v>65</v>
      </c>
      <c r="G139" s="10" t="s">
        <v>17</v>
      </c>
      <c r="H139" s="3">
        <v>1</v>
      </c>
      <c r="I139" s="2">
        <v>1673</v>
      </c>
      <c r="J139" s="11">
        <v>0</v>
      </c>
      <c r="K139" s="2">
        <f t="shared" si="4"/>
        <v>1673</v>
      </c>
      <c r="L139" t="s">
        <v>679</v>
      </c>
      <c r="M139" t="s">
        <v>680</v>
      </c>
      <c r="N139" t="s">
        <v>705</v>
      </c>
    </row>
    <row r="140" spans="1:14" x14ac:dyDescent="0.25">
      <c r="A140" s="10" t="s">
        <v>835</v>
      </c>
      <c r="B140" s="1">
        <v>46030</v>
      </c>
      <c r="C140" s="10" t="s">
        <v>533</v>
      </c>
      <c r="D140" s="10" t="s">
        <v>638</v>
      </c>
      <c r="E140" s="10" t="s">
        <v>712</v>
      </c>
      <c r="F140" t="s">
        <v>118</v>
      </c>
      <c r="G140" s="10" t="s">
        <v>70</v>
      </c>
      <c r="H140" s="3">
        <v>1</v>
      </c>
      <c r="I140" s="2">
        <v>49</v>
      </c>
      <c r="J140" s="11">
        <v>0.1</v>
      </c>
      <c r="K140" s="2">
        <f t="shared" si="4"/>
        <v>44.1</v>
      </c>
      <c r="L140" t="s">
        <v>693</v>
      </c>
      <c r="M140" t="s">
        <v>691</v>
      </c>
      <c r="N140" t="s">
        <v>677</v>
      </c>
    </row>
    <row r="141" spans="1:14" x14ac:dyDescent="0.25">
      <c r="A141" s="10" t="s">
        <v>836</v>
      </c>
      <c r="B141" s="1">
        <v>46034</v>
      </c>
      <c r="C141" s="10" t="s">
        <v>587</v>
      </c>
      <c r="D141" s="10" t="s">
        <v>638</v>
      </c>
      <c r="E141" s="10" t="s">
        <v>59</v>
      </c>
      <c r="F141" t="s">
        <v>60</v>
      </c>
      <c r="G141" s="10" t="s">
        <v>17</v>
      </c>
      <c r="H141" s="3">
        <v>1</v>
      </c>
      <c r="I141" s="2">
        <v>1592</v>
      </c>
      <c r="J141" s="11">
        <v>0</v>
      </c>
      <c r="K141" s="2">
        <f t="shared" si="4"/>
        <v>1592</v>
      </c>
      <c r="L141" t="s">
        <v>693</v>
      </c>
      <c r="M141" t="s">
        <v>685</v>
      </c>
      <c r="N141" t="s">
        <v>677</v>
      </c>
    </row>
    <row r="142" spans="1:14" x14ac:dyDescent="0.25">
      <c r="A142" s="10" t="s">
        <v>837</v>
      </c>
      <c r="B142" s="1">
        <v>46036</v>
      </c>
      <c r="C142" s="10" t="s">
        <v>479</v>
      </c>
      <c r="D142" s="10" t="s">
        <v>653</v>
      </c>
      <c r="E142" s="10" t="s">
        <v>228</v>
      </c>
      <c r="F142" t="s">
        <v>720</v>
      </c>
      <c r="G142" s="10" t="s">
        <v>70</v>
      </c>
      <c r="H142" s="3">
        <v>1</v>
      </c>
      <c r="I142" s="2">
        <v>119</v>
      </c>
      <c r="J142" s="11">
        <v>0.15</v>
      </c>
      <c r="K142" s="2">
        <f t="shared" si="4"/>
        <v>101.14999999999999</v>
      </c>
      <c r="L142" t="s">
        <v>693</v>
      </c>
      <c r="M142" t="s">
        <v>685</v>
      </c>
      <c r="N142" t="s">
        <v>677</v>
      </c>
    </row>
    <row r="143" spans="1:14" x14ac:dyDescent="0.25">
      <c r="A143" s="10" t="s">
        <v>838</v>
      </c>
      <c r="B143" s="1">
        <v>46038</v>
      </c>
      <c r="C143" s="10" t="s">
        <v>497</v>
      </c>
      <c r="D143" s="10" t="s">
        <v>661</v>
      </c>
      <c r="E143" s="10" t="s">
        <v>54</v>
      </c>
      <c r="F143" t="s">
        <v>55</v>
      </c>
      <c r="G143" s="10" t="s">
        <v>17</v>
      </c>
      <c r="H143" s="3">
        <v>1</v>
      </c>
      <c r="I143" s="2">
        <v>2834</v>
      </c>
      <c r="J143" s="11">
        <v>0.2</v>
      </c>
      <c r="K143" s="2">
        <f t="shared" si="4"/>
        <v>2267.2000000000003</v>
      </c>
      <c r="L143" t="s">
        <v>679</v>
      </c>
      <c r="M143" t="s">
        <v>691</v>
      </c>
      <c r="N143" t="s">
        <v>677</v>
      </c>
    </row>
    <row r="144" spans="1:14" x14ac:dyDescent="0.25">
      <c r="A144" s="10" t="s">
        <v>839</v>
      </c>
      <c r="B144" s="1">
        <v>46041</v>
      </c>
      <c r="C144" s="10" t="s">
        <v>450</v>
      </c>
      <c r="D144" s="10" t="s">
        <v>624</v>
      </c>
      <c r="E144" s="10" t="s">
        <v>25</v>
      </c>
      <c r="F144" t="s">
        <v>26</v>
      </c>
      <c r="G144" s="10" t="s">
        <v>17</v>
      </c>
      <c r="H144" s="3">
        <v>1</v>
      </c>
      <c r="I144" s="2">
        <v>2331</v>
      </c>
      <c r="J144" s="11">
        <v>0.1</v>
      </c>
      <c r="K144" s="2">
        <f t="shared" si="4"/>
        <v>2097.9</v>
      </c>
      <c r="L144" t="s">
        <v>679</v>
      </c>
      <c r="M144" t="s">
        <v>691</v>
      </c>
      <c r="N144" t="s">
        <v>677</v>
      </c>
    </row>
    <row r="145" spans="1:14" x14ac:dyDescent="0.25">
      <c r="A145" s="10" t="s">
        <v>840</v>
      </c>
      <c r="B145" s="1">
        <v>46041</v>
      </c>
      <c r="C145" s="10" t="s">
        <v>450</v>
      </c>
      <c r="D145" s="10" t="s">
        <v>624</v>
      </c>
      <c r="E145" s="10" t="s">
        <v>228</v>
      </c>
      <c r="F145" t="s">
        <v>720</v>
      </c>
      <c r="G145" s="10" t="s">
        <v>70</v>
      </c>
      <c r="H145" s="3">
        <v>2</v>
      </c>
      <c r="I145" s="2">
        <v>119</v>
      </c>
      <c r="J145" s="11">
        <v>0.15</v>
      </c>
      <c r="K145" s="2">
        <f t="shared" si="4"/>
        <v>202.29999999999998</v>
      </c>
      <c r="L145" t="s">
        <v>679</v>
      </c>
      <c r="M145" t="s">
        <v>691</v>
      </c>
      <c r="N145" t="s">
        <v>677</v>
      </c>
    </row>
    <row r="146" spans="1:14" x14ac:dyDescent="0.25">
      <c r="A146" s="10" t="s">
        <v>841</v>
      </c>
      <c r="B146" s="1">
        <v>46048</v>
      </c>
      <c r="C146" s="10" t="s">
        <v>459</v>
      </c>
      <c r="D146" s="10" t="s">
        <v>649</v>
      </c>
      <c r="E146" s="10" t="s">
        <v>46</v>
      </c>
      <c r="F146" t="s">
        <v>47</v>
      </c>
      <c r="G146" s="10" t="s">
        <v>17</v>
      </c>
      <c r="H146" s="3">
        <v>1</v>
      </c>
      <c r="I146" s="2">
        <v>2271</v>
      </c>
      <c r="J146" s="11">
        <v>0.2</v>
      </c>
      <c r="K146" s="2">
        <f t="shared" si="4"/>
        <v>1816.8000000000002</v>
      </c>
      <c r="L146" t="s">
        <v>679</v>
      </c>
      <c r="M146" t="s">
        <v>676</v>
      </c>
      <c r="N146" t="s">
        <v>677</v>
      </c>
    </row>
    <row r="147" spans="1:14" x14ac:dyDescent="0.25">
      <c r="A147" s="10" t="s">
        <v>842</v>
      </c>
      <c r="B147" s="1">
        <v>46048</v>
      </c>
      <c r="C147" s="10" t="s">
        <v>459</v>
      </c>
      <c r="D147" s="10" t="s">
        <v>649</v>
      </c>
      <c r="E147" s="10" t="s">
        <v>183</v>
      </c>
      <c r="F147" t="s">
        <v>696</v>
      </c>
      <c r="G147" s="10" t="s">
        <v>70</v>
      </c>
      <c r="H147" s="3">
        <v>2</v>
      </c>
      <c r="I147" s="2">
        <v>27</v>
      </c>
      <c r="J147" s="11">
        <v>0.1</v>
      </c>
      <c r="K147" s="2">
        <f t="shared" si="4"/>
        <v>48.6</v>
      </c>
      <c r="L147" t="s">
        <v>679</v>
      </c>
      <c r="M147" t="s">
        <v>676</v>
      </c>
      <c r="N147" t="s">
        <v>677</v>
      </c>
    </row>
    <row r="148" spans="1:14" x14ac:dyDescent="0.25">
      <c r="A148" s="10" t="s">
        <v>843</v>
      </c>
      <c r="B148" s="1">
        <v>46052</v>
      </c>
      <c r="C148" s="10" t="s">
        <v>590</v>
      </c>
      <c r="D148" s="10" t="s">
        <v>641</v>
      </c>
      <c r="E148" s="10" t="s">
        <v>41</v>
      </c>
      <c r="F148" t="s">
        <v>42</v>
      </c>
      <c r="G148" s="10" t="s">
        <v>17</v>
      </c>
      <c r="H148" s="3">
        <v>1</v>
      </c>
      <c r="I148" s="2">
        <v>2499</v>
      </c>
      <c r="J148" s="11">
        <v>0.15</v>
      </c>
      <c r="K148" s="2">
        <f t="shared" si="4"/>
        <v>2124.15</v>
      </c>
      <c r="L148" t="s">
        <v>693</v>
      </c>
      <c r="M148" t="s">
        <v>680</v>
      </c>
      <c r="N148" t="s">
        <v>677</v>
      </c>
    </row>
    <row r="149" spans="1:14" x14ac:dyDescent="0.25">
      <c r="A149" s="10" t="s">
        <v>844</v>
      </c>
      <c r="B149" s="1">
        <v>46054</v>
      </c>
      <c r="C149" s="10" t="s">
        <v>497</v>
      </c>
      <c r="D149" s="10" t="s">
        <v>626</v>
      </c>
      <c r="E149" s="10" t="s">
        <v>41</v>
      </c>
      <c r="F149" t="s">
        <v>42</v>
      </c>
      <c r="G149" s="10" t="s">
        <v>17</v>
      </c>
      <c r="H149" s="3">
        <v>1</v>
      </c>
      <c r="I149" s="2">
        <v>2435</v>
      </c>
      <c r="J149" s="11">
        <v>0.1</v>
      </c>
      <c r="K149" s="2">
        <f t="shared" si="4"/>
        <v>2191.5</v>
      </c>
      <c r="L149" t="s">
        <v>679</v>
      </c>
      <c r="M149" t="s">
        <v>685</v>
      </c>
      <c r="N149" t="s">
        <v>677</v>
      </c>
    </row>
    <row r="150" spans="1:14" x14ac:dyDescent="0.25">
      <c r="A150" s="10" t="s">
        <v>845</v>
      </c>
      <c r="B150" s="1">
        <v>46054</v>
      </c>
      <c r="C150" s="10" t="s">
        <v>378</v>
      </c>
      <c r="D150" s="10" t="s">
        <v>618</v>
      </c>
      <c r="E150" s="10" t="s">
        <v>49</v>
      </c>
      <c r="F150" t="s">
        <v>50</v>
      </c>
      <c r="G150" s="10" t="s">
        <v>17</v>
      </c>
      <c r="H150" s="3">
        <v>1</v>
      </c>
      <c r="I150" s="2">
        <v>2317</v>
      </c>
      <c r="J150" s="11">
        <v>0</v>
      </c>
      <c r="K150" s="2">
        <f t="shared" si="4"/>
        <v>2317</v>
      </c>
      <c r="L150" t="s">
        <v>675</v>
      </c>
      <c r="M150" t="s">
        <v>676</v>
      </c>
      <c r="N150" t="s">
        <v>705</v>
      </c>
    </row>
    <row r="151" spans="1:14" x14ac:dyDescent="0.25">
      <c r="A151" s="10" t="s">
        <v>846</v>
      </c>
      <c r="B151" s="1">
        <v>46055</v>
      </c>
      <c r="C151" s="10" t="s">
        <v>405</v>
      </c>
      <c r="D151" s="10" t="s">
        <v>628</v>
      </c>
      <c r="E151" s="10" t="s">
        <v>41</v>
      </c>
      <c r="F151" t="s">
        <v>42</v>
      </c>
      <c r="G151" s="10" t="s">
        <v>17</v>
      </c>
      <c r="H151" s="3">
        <v>1</v>
      </c>
      <c r="I151" s="2">
        <v>2312</v>
      </c>
      <c r="J151" s="11">
        <v>0</v>
      </c>
      <c r="K151" s="2">
        <f t="shared" si="4"/>
        <v>2312</v>
      </c>
      <c r="L151" t="s">
        <v>693</v>
      </c>
      <c r="M151" t="s">
        <v>685</v>
      </c>
      <c r="N151" t="s">
        <v>705</v>
      </c>
    </row>
    <row r="152" spans="1:14" x14ac:dyDescent="0.25">
      <c r="A152" s="10" t="s">
        <v>847</v>
      </c>
      <c r="B152" s="1">
        <v>46057</v>
      </c>
      <c r="C152" s="10" t="s">
        <v>351</v>
      </c>
      <c r="D152" s="10" t="s">
        <v>613</v>
      </c>
      <c r="E152" s="10" t="s">
        <v>46</v>
      </c>
      <c r="F152" t="s">
        <v>47</v>
      </c>
      <c r="G152" s="10" t="s">
        <v>17</v>
      </c>
      <c r="H152" s="3">
        <v>1</v>
      </c>
      <c r="I152" s="2">
        <v>2436</v>
      </c>
      <c r="J152" s="11">
        <v>0.2</v>
      </c>
      <c r="K152" s="2">
        <f t="shared" si="4"/>
        <v>1948.8000000000002</v>
      </c>
      <c r="L152" t="s">
        <v>675</v>
      </c>
      <c r="M152" t="s">
        <v>691</v>
      </c>
      <c r="N152" t="s">
        <v>677</v>
      </c>
    </row>
    <row r="153" spans="1:14" x14ac:dyDescent="0.25">
      <c r="A153" s="10" t="s">
        <v>848</v>
      </c>
      <c r="B153" s="1">
        <v>46057</v>
      </c>
      <c r="C153" s="10" t="s">
        <v>351</v>
      </c>
      <c r="D153" s="10" t="s">
        <v>613</v>
      </c>
      <c r="E153" s="10" t="s">
        <v>228</v>
      </c>
      <c r="F153" t="s">
        <v>720</v>
      </c>
      <c r="G153" s="10" t="s">
        <v>70</v>
      </c>
      <c r="H153" s="3">
        <v>1</v>
      </c>
      <c r="I153" s="2">
        <v>119</v>
      </c>
      <c r="J153" s="11">
        <v>0.1</v>
      </c>
      <c r="K153" s="2">
        <f t="shared" si="4"/>
        <v>107.10000000000001</v>
      </c>
      <c r="L153" t="s">
        <v>675</v>
      </c>
      <c r="M153" t="s">
        <v>691</v>
      </c>
      <c r="N153" t="s">
        <v>677</v>
      </c>
    </row>
    <row r="154" spans="1:14" x14ac:dyDescent="0.25">
      <c r="A154" s="10" t="s">
        <v>849</v>
      </c>
      <c r="B154" s="1">
        <v>46059</v>
      </c>
      <c r="C154" s="10" t="s">
        <v>434</v>
      </c>
      <c r="D154" s="10" t="s">
        <v>655</v>
      </c>
      <c r="E154" s="10" t="s">
        <v>25</v>
      </c>
      <c r="F154" t="s">
        <v>26</v>
      </c>
      <c r="G154" s="10" t="s">
        <v>17</v>
      </c>
      <c r="H154" s="3">
        <v>1</v>
      </c>
      <c r="I154" s="2">
        <v>2398</v>
      </c>
      <c r="J154" s="11">
        <v>0.15</v>
      </c>
      <c r="K154" s="2">
        <f t="shared" si="4"/>
        <v>2038.3</v>
      </c>
      <c r="L154" t="s">
        <v>693</v>
      </c>
      <c r="M154" t="s">
        <v>680</v>
      </c>
      <c r="N154" t="s">
        <v>677</v>
      </c>
    </row>
    <row r="155" spans="1:14" x14ac:dyDescent="0.25">
      <c r="A155" s="10" t="s">
        <v>850</v>
      </c>
      <c r="B155" s="1">
        <v>46059</v>
      </c>
      <c r="C155" s="10" t="s">
        <v>584</v>
      </c>
      <c r="D155" s="10" t="s">
        <v>658</v>
      </c>
      <c r="E155" s="10" t="s">
        <v>15</v>
      </c>
      <c r="F155" t="s">
        <v>16</v>
      </c>
      <c r="G155" s="10" t="s">
        <v>17</v>
      </c>
      <c r="H155" s="3">
        <v>1</v>
      </c>
      <c r="I155" s="2">
        <v>2402</v>
      </c>
      <c r="J155" s="11">
        <v>0.2</v>
      </c>
      <c r="K155" s="2">
        <f t="shared" si="4"/>
        <v>1921.6000000000001</v>
      </c>
      <c r="L155" t="s">
        <v>693</v>
      </c>
      <c r="M155" t="s">
        <v>676</v>
      </c>
      <c r="N155" t="s">
        <v>677</v>
      </c>
    </row>
    <row r="156" spans="1:14" x14ac:dyDescent="0.25">
      <c r="A156" s="10" t="s">
        <v>851</v>
      </c>
      <c r="B156" s="1">
        <v>46062</v>
      </c>
      <c r="C156" s="10" t="s">
        <v>365</v>
      </c>
      <c r="D156" s="10" t="s">
        <v>655</v>
      </c>
      <c r="E156" s="10" t="s">
        <v>36</v>
      </c>
      <c r="F156" t="s">
        <v>37</v>
      </c>
      <c r="G156" s="10" t="s">
        <v>17</v>
      </c>
      <c r="H156" s="3">
        <v>1</v>
      </c>
      <c r="I156" s="2">
        <v>2618</v>
      </c>
      <c r="J156" s="11">
        <v>0.2</v>
      </c>
      <c r="K156" s="2">
        <f t="shared" si="4"/>
        <v>2094.4</v>
      </c>
      <c r="L156" t="s">
        <v>679</v>
      </c>
      <c r="M156" t="s">
        <v>691</v>
      </c>
      <c r="N156" t="s">
        <v>677</v>
      </c>
    </row>
    <row r="157" spans="1:14" x14ac:dyDescent="0.25">
      <c r="A157" s="10" t="s">
        <v>852</v>
      </c>
      <c r="B157" s="1">
        <v>46064</v>
      </c>
      <c r="C157" s="10" t="s">
        <v>487</v>
      </c>
      <c r="D157" s="10" t="s">
        <v>649</v>
      </c>
      <c r="E157" s="10" t="s">
        <v>66</v>
      </c>
      <c r="F157" t="s">
        <v>67</v>
      </c>
      <c r="G157" s="10" t="s">
        <v>17</v>
      </c>
      <c r="H157" s="3">
        <v>1</v>
      </c>
      <c r="I157" s="2">
        <v>1534</v>
      </c>
      <c r="J157" s="11">
        <v>0.1</v>
      </c>
      <c r="K157" s="2">
        <f t="shared" si="4"/>
        <v>1380.6000000000001</v>
      </c>
      <c r="L157" t="s">
        <v>679</v>
      </c>
      <c r="M157" t="s">
        <v>685</v>
      </c>
      <c r="N157" t="s">
        <v>677</v>
      </c>
    </row>
    <row r="158" spans="1:14" x14ac:dyDescent="0.25">
      <c r="A158" s="10" t="s">
        <v>853</v>
      </c>
      <c r="B158" s="1">
        <v>46067</v>
      </c>
      <c r="C158" s="10" t="s">
        <v>383</v>
      </c>
      <c r="D158" s="10" t="s">
        <v>658</v>
      </c>
      <c r="E158" s="10" t="s">
        <v>36</v>
      </c>
      <c r="F158" t="s">
        <v>37</v>
      </c>
      <c r="G158" s="10" t="s">
        <v>17</v>
      </c>
      <c r="H158" s="3">
        <v>1</v>
      </c>
      <c r="I158" s="2">
        <v>2466</v>
      </c>
      <c r="J158" s="11">
        <v>0.1</v>
      </c>
      <c r="K158" s="2">
        <f t="shared" si="4"/>
        <v>2219.4</v>
      </c>
      <c r="L158" t="s">
        <v>679</v>
      </c>
      <c r="M158" t="s">
        <v>680</v>
      </c>
      <c r="N158" t="s">
        <v>677</v>
      </c>
    </row>
    <row r="159" spans="1:14" x14ac:dyDescent="0.25">
      <c r="A159" s="10" t="s">
        <v>854</v>
      </c>
      <c r="B159" s="1">
        <v>46069</v>
      </c>
      <c r="C159" s="10" t="s">
        <v>580</v>
      </c>
      <c r="D159" s="10" t="s">
        <v>638</v>
      </c>
      <c r="E159" s="10" t="s">
        <v>64</v>
      </c>
      <c r="F159" t="s">
        <v>65</v>
      </c>
      <c r="G159" s="10" t="s">
        <v>17</v>
      </c>
      <c r="H159" s="3">
        <v>1</v>
      </c>
      <c r="I159" s="2">
        <v>1473</v>
      </c>
      <c r="J159" s="11">
        <v>0.2</v>
      </c>
      <c r="K159" s="2">
        <f t="shared" si="4"/>
        <v>1178.4000000000001</v>
      </c>
      <c r="L159" t="s">
        <v>675</v>
      </c>
      <c r="M159" t="s">
        <v>691</v>
      </c>
      <c r="N159" t="s">
        <v>677</v>
      </c>
    </row>
    <row r="160" spans="1:14" x14ac:dyDescent="0.25">
      <c r="A160" s="10" t="s">
        <v>855</v>
      </c>
      <c r="B160" s="1">
        <v>46069</v>
      </c>
      <c r="C160" s="10" t="s">
        <v>580</v>
      </c>
      <c r="D160" s="10" t="s">
        <v>638</v>
      </c>
      <c r="E160" s="10" t="s">
        <v>338</v>
      </c>
      <c r="F160" t="s">
        <v>339</v>
      </c>
      <c r="G160" s="10" t="s">
        <v>70</v>
      </c>
      <c r="H160" s="3">
        <v>1</v>
      </c>
      <c r="I160" s="2">
        <v>29</v>
      </c>
      <c r="J160" s="11">
        <v>0.1</v>
      </c>
      <c r="K160" s="2">
        <f t="shared" si="4"/>
        <v>26.1</v>
      </c>
      <c r="L160" t="s">
        <v>675</v>
      </c>
      <c r="M160" t="s">
        <v>691</v>
      </c>
      <c r="N160" t="s">
        <v>677</v>
      </c>
    </row>
    <row r="161" spans="1:14" x14ac:dyDescent="0.25">
      <c r="A161" s="10" t="s">
        <v>856</v>
      </c>
      <c r="B161" s="1">
        <v>46069</v>
      </c>
      <c r="C161" s="10" t="s">
        <v>415</v>
      </c>
      <c r="D161" s="10" t="s">
        <v>643</v>
      </c>
      <c r="E161" s="10" t="s">
        <v>316</v>
      </c>
      <c r="F161" t="s">
        <v>776</v>
      </c>
      <c r="G161" s="10" t="s">
        <v>70</v>
      </c>
      <c r="H161" s="3">
        <v>2</v>
      </c>
      <c r="I161" s="2">
        <v>34</v>
      </c>
      <c r="J161" s="11">
        <v>0.15</v>
      </c>
      <c r="K161" s="2">
        <f t="shared" si="4"/>
        <v>57.8</v>
      </c>
      <c r="L161" t="s">
        <v>693</v>
      </c>
      <c r="M161" t="s">
        <v>680</v>
      </c>
      <c r="N161" t="s">
        <v>705</v>
      </c>
    </row>
    <row r="162" spans="1:14" x14ac:dyDescent="0.25">
      <c r="A162" s="10" t="s">
        <v>857</v>
      </c>
      <c r="B162" s="1">
        <v>46070</v>
      </c>
      <c r="C162" s="10" t="s">
        <v>565</v>
      </c>
      <c r="D162" s="10" t="s">
        <v>624</v>
      </c>
      <c r="E162" s="10" t="s">
        <v>49</v>
      </c>
      <c r="F162" t="s">
        <v>50</v>
      </c>
      <c r="G162" s="10" t="s">
        <v>17</v>
      </c>
      <c r="H162" s="3">
        <v>1</v>
      </c>
      <c r="I162" s="2">
        <v>2460</v>
      </c>
      <c r="J162" s="11">
        <v>0.15</v>
      </c>
      <c r="K162" s="2">
        <f t="shared" ref="K162:K176" si="5">H162 * I162 * (1 - J162)</f>
        <v>2091</v>
      </c>
      <c r="L162" t="s">
        <v>693</v>
      </c>
      <c r="M162" t="s">
        <v>685</v>
      </c>
      <c r="N162" t="s">
        <v>677</v>
      </c>
    </row>
    <row r="163" spans="1:14" x14ac:dyDescent="0.25">
      <c r="A163" s="10" t="s">
        <v>858</v>
      </c>
      <c r="B163" s="1">
        <v>46070</v>
      </c>
      <c r="C163" s="10" t="s">
        <v>565</v>
      </c>
      <c r="D163" s="10" t="s">
        <v>624</v>
      </c>
      <c r="E163" s="10" t="s">
        <v>160</v>
      </c>
      <c r="F163" t="s">
        <v>690</v>
      </c>
      <c r="G163" s="10" t="s">
        <v>70</v>
      </c>
      <c r="H163" s="3">
        <v>1</v>
      </c>
      <c r="I163" s="2">
        <v>59</v>
      </c>
      <c r="J163" s="11">
        <v>0.2</v>
      </c>
      <c r="K163" s="2">
        <f t="shared" si="5"/>
        <v>47.2</v>
      </c>
      <c r="L163" t="s">
        <v>693</v>
      </c>
      <c r="M163" t="s">
        <v>685</v>
      </c>
      <c r="N163" t="s">
        <v>677</v>
      </c>
    </row>
    <row r="164" spans="1:14" x14ac:dyDescent="0.25">
      <c r="A164" s="10" t="s">
        <v>859</v>
      </c>
      <c r="B164" s="1">
        <v>46074</v>
      </c>
      <c r="C164" s="10" t="s">
        <v>533</v>
      </c>
      <c r="D164" s="10" t="s">
        <v>622</v>
      </c>
      <c r="E164" s="10" t="s">
        <v>66</v>
      </c>
      <c r="F164" t="s">
        <v>67</v>
      </c>
      <c r="G164" s="10" t="s">
        <v>17</v>
      </c>
      <c r="H164" s="3">
        <v>1</v>
      </c>
      <c r="I164" s="2">
        <v>1540</v>
      </c>
      <c r="J164" s="11">
        <v>0.15</v>
      </c>
      <c r="K164" s="2">
        <f t="shared" si="5"/>
        <v>1309</v>
      </c>
      <c r="L164" t="s">
        <v>693</v>
      </c>
      <c r="M164" t="s">
        <v>676</v>
      </c>
      <c r="N164" t="s">
        <v>677</v>
      </c>
    </row>
    <row r="165" spans="1:14" x14ac:dyDescent="0.25">
      <c r="A165" s="10" t="s">
        <v>860</v>
      </c>
      <c r="B165" s="1">
        <v>46074</v>
      </c>
      <c r="C165" s="10" t="s">
        <v>545</v>
      </c>
      <c r="D165" s="10" t="s">
        <v>628</v>
      </c>
      <c r="E165" s="10" t="s">
        <v>36</v>
      </c>
      <c r="F165" t="s">
        <v>37</v>
      </c>
      <c r="G165" s="10" t="s">
        <v>17</v>
      </c>
      <c r="H165" s="3">
        <v>1</v>
      </c>
      <c r="I165" s="2">
        <v>2474</v>
      </c>
      <c r="J165" s="11">
        <v>0.15</v>
      </c>
      <c r="K165" s="2">
        <f t="shared" si="5"/>
        <v>2102.9</v>
      </c>
      <c r="L165" t="s">
        <v>693</v>
      </c>
      <c r="M165" t="s">
        <v>691</v>
      </c>
      <c r="N165" t="s">
        <v>677</v>
      </c>
    </row>
    <row r="166" spans="1:14" x14ac:dyDescent="0.25">
      <c r="A166" s="10" t="s">
        <v>861</v>
      </c>
      <c r="B166" s="1">
        <v>46075</v>
      </c>
      <c r="C166" s="10" t="s">
        <v>434</v>
      </c>
      <c r="D166" s="10" t="s">
        <v>622</v>
      </c>
      <c r="E166" s="10" t="s">
        <v>54</v>
      </c>
      <c r="F166" t="s">
        <v>55</v>
      </c>
      <c r="G166" s="10" t="s">
        <v>17</v>
      </c>
      <c r="H166" s="3">
        <v>1</v>
      </c>
      <c r="I166" s="2">
        <v>2658</v>
      </c>
      <c r="J166" s="11">
        <v>0.2</v>
      </c>
      <c r="K166" s="2">
        <f t="shared" si="5"/>
        <v>2126.4</v>
      </c>
      <c r="L166" t="s">
        <v>693</v>
      </c>
      <c r="M166" t="s">
        <v>680</v>
      </c>
      <c r="N166" t="s">
        <v>677</v>
      </c>
    </row>
    <row r="167" spans="1:14" x14ac:dyDescent="0.25">
      <c r="A167" s="10" t="s">
        <v>862</v>
      </c>
      <c r="B167" s="1">
        <v>46075</v>
      </c>
      <c r="C167" s="10" t="s">
        <v>434</v>
      </c>
      <c r="D167" s="10" t="s">
        <v>622</v>
      </c>
      <c r="E167" s="10" t="s">
        <v>183</v>
      </c>
      <c r="F167" t="s">
        <v>696</v>
      </c>
      <c r="G167" s="10" t="s">
        <v>70</v>
      </c>
      <c r="H167" s="3">
        <v>1</v>
      </c>
      <c r="I167" s="2">
        <v>27</v>
      </c>
      <c r="J167" s="11">
        <v>0.1</v>
      </c>
      <c r="K167" s="2">
        <f t="shared" si="5"/>
        <v>24.3</v>
      </c>
      <c r="L167" t="s">
        <v>693</v>
      </c>
      <c r="M167" t="s">
        <v>680</v>
      </c>
      <c r="N167" t="s">
        <v>677</v>
      </c>
    </row>
    <row r="168" spans="1:14" x14ac:dyDescent="0.25">
      <c r="A168" s="10" t="s">
        <v>863</v>
      </c>
      <c r="B168" s="1">
        <v>46076</v>
      </c>
      <c r="C168" s="10" t="s">
        <v>430</v>
      </c>
      <c r="D168" s="10" t="s">
        <v>647</v>
      </c>
      <c r="E168" s="10" t="s">
        <v>51</v>
      </c>
      <c r="F168" t="s">
        <v>52</v>
      </c>
      <c r="G168" s="10" t="s">
        <v>17</v>
      </c>
      <c r="H168" s="3">
        <v>1</v>
      </c>
      <c r="I168" s="2">
        <v>2944</v>
      </c>
      <c r="J168" s="11">
        <v>0.15</v>
      </c>
      <c r="K168" s="2">
        <f t="shared" si="5"/>
        <v>2502.4</v>
      </c>
      <c r="L168" t="s">
        <v>693</v>
      </c>
      <c r="M168" t="s">
        <v>685</v>
      </c>
      <c r="N168" t="s">
        <v>705</v>
      </c>
    </row>
    <row r="169" spans="1:14" x14ac:dyDescent="0.25">
      <c r="A169" s="10" t="s">
        <v>864</v>
      </c>
      <c r="B169" s="1">
        <v>46076</v>
      </c>
      <c r="C169" s="10" t="s">
        <v>533</v>
      </c>
      <c r="D169" s="10" t="s">
        <v>626</v>
      </c>
      <c r="E169" s="10" t="s">
        <v>66</v>
      </c>
      <c r="F169" t="s">
        <v>67</v>
      </c>
      <c r="G169" s="10" t="s">
        <v>17</v>
      </c>
      <c r="H169" s="3">
        <v>1</v>
      </c>
      <c r="I169" s="2">
        <v>1602</v>
      </c>
      <c r="J169" s="11">
        <v>0.2</v>
      </c>
      <c r="K169" s="2">
        <f t="shared" si="5"/>
        <v>1281.6000000000001</v>
      </c>
      <c r="L169" t="s">
        <v>679</v>
      </c>
      <c r="M169" t="s">
        <v>676</v>
      </c>
      <c r="N169" t="s">
        <v>677</v>
      </c>
    </row>
    <row r="170" spans="1:14" x14ac:dyDescent="0.25">
      <c r="A170" s="10" t="s">
        <v>865</v>
      </c>
      <c r="B170" s="1">
        <v>46076</v>
      </c>
      <c r="C170" s="10" t="s">
        <v>533</v>
      </c>
      <c r="D170" s="10" t="s">
        <v>626</v>
      </c>
      <c r="E170" s="10" t="s">
        <v>206</v>
      </c>
      <c r="F170" t="s">
        <v>688</v>
      </c>
      <c r="G170" s="10" t="s">
        <v>70</v>
      </c>
      <c r="H170" s="3">
        <v>1</v>
      </c>
      <c r="I170" s="2">
        <v>89</v>
      </c>
      <c r="J170" s="11">
        <v>0.1</v>
      </c>
      <c r="K170" s="2">
        <f t="shared" si="5"/>
        <v>80.100000000000009</v>
      </c>
      <c r="L170" t="s">
        <v>679</v>
      </c>
      <c r="M170" t="s">
        <v>676</v>
      </c>
      <c r="N170" t="s">
        <v>677</v>
      </c>
    </row>
    <row r="171" spans="1:14" x14ac:dyDescent="0.25">
      <c r="A171" s="10" t="s">
        <v>866</v>
      </c>
      <c r="B171" s="1">
        <v>46076</v>
      </c>
      <c r="C171" s="10" t="s">
        <v>533</v>
      </c>
      <c r="D171" s="10" t="s">
        <v>628</v>
      </c>
      <c r="E171" s="10" t="s">
        <v>739</v>
      </c>
      <c r="F171" t="s">
        <v>94</v>
      </c>
      <c r="G171" s="10" t="s">
        <v>70</v>
      </c>
      <c r="H171" s="3">
        <v>1</v>
      </c>
      <c r="I171" s="2">
        <v>79</v>
      </c>
      <c r="J171" s="11">
        <v>0.15</v>
      </c>
      <c r="K171" s="2">
        <f t="shared" si="5"/>
        <v>67.149999999999991</v>
      </c>
      <c r="L171" t="s">
        <v>675</v>
      </c>
      <c r="M171" t="s">
        <v>691</v>
      </c>
      <c r="N171" t="s">
        <v>683</v>
      </c>
    </row>
    <row r="172" spans="1:14" x14ac:dyDescent="0.25">
      <c r="A172" s="10" t="s">
        <v>867</v>
      </c>
      <c r="B172" s="1">
        <v>46078</v>
      </c>
      <c r="C172" s="10" t="s">
        <v>474</v>
      </c>
      <c r="D172" s="10" t="s">
        <v>618</v>
      </c>
      <c r="E172" s="10" t="s">
        <v>728</v>
      </c>
      <c r="F172" t="s">
        <v>98</v>
      </c>
      <c r="G172" s="10" t="s">
        <v>70</v>
      </c>
      <c r="H172" s="3">
        <v>1</v>
      </c>
      <c r="I172" s="2">
        <v>79</v>
      </c>
      <c r="J172" s="11">
        <v>0.15</v>
      </c>
      <c r="K172" s="2">
        <f t="shared" si="5"/>
        <v>67.149999999999991</v>
      </c>
      <c r="L172" t="s">
        <v>675</v>
      </c>
      <c r="M172" t="s">
        <v>691</v>
      </c>
      <c r="N172" t="s">
        <v>683</v>
      </c>
    </row>
    <row r="173" spans="1:14" x14ac:dyDescent="0.25">
      <c r="A173" s="10" t="s">
        <v>868</v>
      </c>
      <c r="B173" s="1">
        <v>46079</v>
      </c>
      <c r="C173" s="10" t="s">
        <v>500</v>
      </c>
      <c r="D173" s="10" t="s">
        <v>653</v>
      </c>
      <c r="E173" s="10" t="s">
        <v>46</v>
      </c>
      <c r="F173" t="s">
        <v>47</v>
      </c>
      <c r="G173" s="10" t="s">
        <v>17</v>
      </c>
      <c r="H173" s="3">
        <v>1</v>
      </c>
      <c r="I173" s="2">
        <v>2293</v>
      </c>
      <c r="J173" s="11">
        <v>0.2</v>
      </c>
      <c r="K173" s="2">
        <f t="shared" si="5"/>
        <v>1834.4</v>
      </c>
      <c r="L173" t="s">
        <v>675</v>
      </c>
      <c r="M173" t="s">
        <v>685</v>
      </c>
      <c r="N173" t="s">
        <v>677</v>
      </c>
    </row>
    <row r="174" spans="1:14" x14ac:dyDescent="0.25">
      <c r="A174" s="10" t="s">
        <v>869</v>
      </c>
      <c r="B174" s="1">
        <v>46079</v>
      </c>
      <c r="C174" s="10" t="s">
        <v>500</v>
      </c>
      <c r="D174" s="10" t="s">
        <v>653</v>
      </c>
      <c r="E174" s="10" t="s">
        <v>183</v>
      </c>
      <c r="F174" t="s">
        <v>696</v>
      </c>
      <c r="G174" s="10" t="s">
        <v>70</v>
      </c>
      <c r="H174" s="3">
        <v>1</v>
      </c>
      <c r="I174" s="2">
        <v>27</v>
      </c>
      <c r="J174" s="11">
        <v>0.1</v>
      </c>
      <c r="K174" s="2">
        <f t="shared" si="5"/>
        <v>24.3</v>
      </c>
      <c r="L174" t="s">
        <v>675</v>
      </c>
      <c r="M174" t="s">
        <v>685</v>
      </c>
      <c r="N174" t="s">
        <v>677</v>
      </c>
    </row>
    <row r="175" spans="1:14" x14ac:dyDescent="0.25">
      <c r="A175" s="10" t="s">
        <v>870</v>
      </c>
      <c r="B175" s="1">
        <v>46080</v>
      </c>
      <c r="C175" s="10" t="s">
        <v>573</v>
      </c>
      <c r="D175" s="10" t="s">
        <v>649</v>
      </c>
      <c r="E175" s="10" t="s">
        <v>59</v>
      </c>
      <c r="F175" t="s">
        <v>60</v>
      </c>
      <c r="G175" s="10" t="s">
        <v>17</v>
      </c>
      <c r="H175" s="3">
        <v>1</v>
      </c>
      <c r="I175" s="2">
        <v>1680</v>
      </c>
      <c r="J175" s="11">
        <v>0.15</v>
      </c>
      <c r="K175" s="2">
        <f t="shared" si="5"/>
        <v>1428</v>
      </c>
      <c r="L175" t="s">
        <v>693</v>
      </c>
      <c r="M175" t="s">
        <v>676</v>
      </c>
      <c r="N175" t="s">
        <v>677</v>
      </c>
    </row>
    <row r="176" spans="1:14" x14ac:dyDescent="0.25">
      <c r="A176" s="10" t="s">
        <v>871</v>
      </c>
      <c r="B176" s="1">
        <v>46080</v>
      </c>
      <c r="C176" s="10" t="s">
        <v>573</v>
      </c>
      <c r="D176" s="10" t="s">
        <v>649</v>
      </c>
      <c r="E176" s="10" t="s">
        <v>712</v>
      </c>
      <c r="F176" t="s">
        <v>118</v>
      </c>
      <c r="G176" s="10" t="s">
        <v>70</v>
      </c>
      <c r="H176" s="3">
        <v>1</v>
      </c>
      <c r="I176" s="2">
        <v>49</v>
      </c>
      <c r="J176" s="11">
        <v>0.2</v>
      </c>
      <c r="K176" s="2">
        <f t="shared" si="5"/>
        <v>39.200000000000003</v>
      </c>
      <c r="L176" t="s">
        <v>693</v>
      </c>
      <c r="M176" t="s">
        <v>676</v>
      </c>
      <c r="N176" t="s">
        <v>677</v>
      </c>
    </row>
  </sheetData>
  <dataValidations count="1">
    <dataValidation type="list" allowBlank="1" showInputMessage="1" showErrorMessage="1" sqref="G1:G1048576" xr:uid="{00000000-0002-0000-0400-000000000000}">
      <formula1>"E-Bike,Accessory,Service"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
  <sheetViews>
    <sheetView workbookViewId="0">
      <selection activeCell="A5" sqref="A5"/>
    </sheetView>
  </sheetViews>
  <sheetFormatPr defaultRowHeight="15" x14ac:dyDescent="0.25"/>
  <cols>
    <col min="1" max="1" width="28.42578125" bestFit="1" customWidth="1"/>
    <col min="2" max="2" width="15.42578125" bestFit="1" customWidth="1"/>
    <col min="3" max="3" width="28" customWidth="1"/>
    <col min="4" max="4" width="14.5703125" bestFit="1" customWidth="1"/>
    <col min="5" max="5" width="11.42578125" style="5" bestFit="1" customWidth="1"/>
    <col min="6" max="6" width="12" style="6" customWidth="1"/>
    <col min="7" max="7" width="11" bestFit="1" customWidth="1"/>
    <col min="8" max="8" width="14.85546875" style="2" bestFit="1" customWidth="1"/>
    <col min="9" max="9" width="20" bestFit="1" customWidth="1"/>
    <col min="10" max="10" width="24.7109375" style="2" bestFit="1" customWidth="1"/>
  </cols>
  <sheetData>
    <row r="1" spans="1:10" x14ac:dyDescent="0.25">
      <c r="A1" t="s">
        <v>872</v>
      </c>
      <c r="B1" t="s">
        <v>873</v>
      </c>
      <c r="C1" t="s">
        <v>4</v>
      </c>
      <c r="D1" t="s">
        <v>874</v>
      </c>
      <c r="E1" s="7" t="s">
        <v>875</v>
      </c>
      <c r="F1" s="8" t="s">
        <v>876</v>
      </c>
      <c r="G1" t="s">
        <v>668</v>
      </c>
      <c r="H1" s="2" t="s">
        <v>877</v>
      </c>
      <c r="I1" s="2" t="s">
        <v>878</v>
      </c>
      <c r="J1" t="s">
        <v>879</v>
      </c>
    </row>
    <row r="2" spans="1:10" x14ac:dyDescent="0.25">
      <c r="A2" t="s">
        <v>880</v>
      </c>
      <c r="B2" t="s">
        <v>881</v>
      </c>
      <c r="C2" t="s">
        <v>882</v>
      </c>
      <c r="D2" t="s">
        <v>883</v>
      </c>
      <c r="E2" s="5" t="s">
        <v>884</v>
      </c>
      <c r="F2" s="6" t="s">
        <v>885</v>
      </c>
      <c r="G2">
        <v>20</v>
      </c>
      <c r="H2" s="2">
        <v>800</v>
      </c>
      <c r="I2" s="2">
        <v>16000</v>
      </c>
      <c r="J2" s="4" t="s">
        <v>986</v>
      </c>
    </row>
    <row r="3" spans="1:10" x14ac:dyDescent="0.25">
      <c r="A3" t="s">
        <v>886</v>
      </c>
      <c r="B3" t="s">
        <v>887</v>
      </c>
      <c r="C3" t="s">
        <v>888</v>
      </c>
      <c r="D3" t="s">
        <v>889</v>
      </c>
      <c r="E3" s="5" t="s">
        <v>890</v>
      </c>
      <c r="F3" s="6" t="s">
        <v>891</v>
      </c>
      <c r="G3">
        <v>6</v>
      </c>
      <c r="H3" s="2">
        <v>349</v>
      </c>
      <c r="I3" s="2">
        <v>2094</v>
      </c>
      <c r="J3" s="4" t="s">
        <v>981</v>
      </c>
    </row>
    <row r="4" spans="1:10" x14ac:dyDescent="0.25">
      <c r="A4" t="s">
        <v>892</v>
      </c>
      <c r="B4" t="s">
        <v>887</v>
      </c>
      <c r="C4" t="s">
        <v>893</v>
      </c>
      <c r="D4" t="s">
        <v>894</v>
      </c>
      <c r="E4" s="5" t="s">
        <v>884</v>
      </c>
      <c r="F4" s="6" t="s">
        <v>895</v>
      </c>
      <c r="G4">
        <v>4</v>
      </c>
      <c r="H4" s="2">
        <v>999</v>
      </c>
      <c r="I4" s="2">
        <v>3996</v>
      </c>
      <c r="J4" s="4" t="s">
        <v>980</v>
      </c>
    </row>
    <row r="5" spans="1:10" x14ac:dyDescent="0.25">
      <c r="A5" t="s">
        <v>896</v>
      </c>
      <c r="B5" t="s">
        <v>897</v>
      </c>
      <c r="C5" t="s">
        <v>898</v>
      </c>
      <c r="D5" t="s">
        <v>899</v>
      </c>
      <c r="E5" s="5" t="s">
        <v>884</v>
      </c>
      <c r="F5" s="6" t="s">
        <v>885</v>
      </c>
      <c r="G5">
        <v>4</v>
      </c>
      <c r="H5" s="2">
        <v>959</v>
      </c>
      <c r="I5" s="2">
        <v>3836</v>
      </c>
      <c r="J5" s="4" t="s">
        <v>982</v>
      </c>
    </row>
    <row r="6" spans="1:10" x14ac:dyDescent="0.25">
      <c r="A6" t="s">
        <v>900</v>
      </c>
      <c r="B6" t="s">
        <v>887</v>
      </c>
      <c r="C6" t="s">
        <v>901</v>
      </c>
      <c r="D6" t="s">
        <v>902</v>
      </c>
      <c r="E6" s="5" t="s">
        <v>903</v>
      </c>
      <c r="F6" s="6" t="s">
        <v>885</v>
      </c>
      <c r="G6">
        <v>3</v>
      </c>
      <c r="H6" s="2">
        <v>1999</v>
      </c>
      <c r="I6" s="2">
        <v>5997</v>
      </c>
      <c r="J6" s="4" t="s">
        <v>983</v>
      </c>
    </row>
    <row r="7" spans="1:10" x14ac:dyDescent="0.25">
      <c r="A7" t="s">
        <v>904</v>
      </c>
      <c r="B7" t="s">
        <v>905</v>
      </c>
      <c r="C7" t="s">
        <v>906</v>
      </c>
      <c r="D7" t="s">
        <v>907</v>
      </c>
      <c r="E7" s="5" t="s">
        <v>884</v>
      </c>
      <c r="F7" s="6" t="s">
        <v>885</v>
      </c>
      <c r="G7">
        <v>5</v>
      </c>
      <c r="H7" s="2">
        <v>1029</v>
      </c>
      <c r="I7" s="2">
        <v>5145</v>
      </c>
      <c r="J7" s="4" t="s">
        <v>984</v>
      </c>
    </row>
    <row r="8" spans="1:10" x14ac:dyDescent="0.25">
      <c r="A8" t="s">
        <v>908</v>
      </c>
      <c r="B8" t="s">
        <v>881</v>
      </c>
      <c r="C8" t="s">
        <v>909</v>
      </c>
      <c r="D8" t="s">
        <v>910</v>
      </c>
      <c r="E8" s="5" t="s">
        <v>911</v>
      </c>
      <c r="F8" s="6" t="s">
        <v>885</v>
      </c>
      <c r="G8">
        <v>5</v>
      </c>
      <c r="H8" s="2">
        <v>470</v>
      </c>
      <c r="I8" s="2">
        <v>2350</v>
      </c>
      <c r="J8" s="4" t="s">
        <v>985</v>
      </c>
    </row>
    <row r="9" spans="1:10" x14ac:dyDescent="0.25">
      <c r="I9" s="2"/>
      <c r="J9" s="4"/>
    </row>
    <row r="10" spans="1:10" x14ac:dyDescent="0.25">
      <c r="I10" s="2"/>
      <c r="J10" s="4"/>
    </row>
    <row r="11" spans="1:10" x14ac:dyDescent="0.25">
      <c r="H11" s="2" t="s">
        <v>912</v>
      </c>
      <c r="I11" s="2">
        <v>39418</v>
      </c>
    </row>
  </sheetData>
  <hyperlinks>
    <hyperlink ref="J2" r:id="rId1" xr:uid="{00000000-0004-0000-0500-000000000000}"/>
    <hyperlink ref="J3" r:id="rId2" xr:uid="{00000000-0004-0000-0500-000001000000}"/>
    <hyperlink ref="J4" r:id="rId3" xr:uid="{00000000-0004-0000-0500-000002000000}"/>
    <hyperlink ref="J5" r:id="rId4" xr:uid="{00000000-0004-0000-0500-000003000000}"/>
    <hyperlink ref="J6" r:id="rId5" xr:uid="{00000000-0004-0000-0500-000004000000}"/>
    <hyperlink ref="J7" r:id="rId6" xr:uid="{00000000-0004-0000-0500-000005000000}"/>
    <hyperlink ref="J8" r:id="rId7" xr:uid="{00000000-0004-0000-0500-000006000000}"/>
  </hyperlinks>
  <pageMargins left="0.7" right="0.7" top="0.75" bottom="0.75" header="0.3" footer="0.3"/>
  <tableParts count="1">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
  <sheetViews>
    <sheetView workbookViewId="0">
      <selection activeCell="D5" sqref="D5"/>
    </sheetView>
  </sheetViews>
  <sheetFormatPr defaultRowHeight="15" x14ac:dyDescent="0.25"/>
  <cols>
    <col min="1" max="1" width="17" bestFit="1" customWidth="1"/>
    <col min="2" max="2" width="11" bestFit="1" customWidth="1"/>
    <col min="3" max="3" width="38.42578125" bestFit="1" customWidth="1"/>
    <col min="4" max="4" width="23.28515625" bestFit="1" customWidth="1"/>
    <col min="5" max="5" width="11" bestFit="1" customWidth="1"/>
    <col min="6" max="6" width="20.140625" style="2" bestFit="1" customWidth="1"/>
    <col min="7" max="7" width="19.7109375" style="2" bestFit="1" customWidth="1"/>
    <col min="8" max="8" width="12.7109375" bestFit="1" customWidth="1"/>
    <col min="9" max="9" width="85.7109375" bestFit="1" customWidth="1"/>
  </cols>
  <sheetData>
    <row r="1" spans="1:9" x14ac:dyDescent="0.25">
      <c r="A1" t="s">
        <v>2</v>
      </c>
      <c r="B1" t="s">
        <v>913</v>
      </c>
      <c r="C1" t="s">
        <v>914</v>
      </c>
      <c r="D1" t="s">
        <v>915</v>
      </c>
      <c r="E1" t="s">
        <v>668</v>
      </c>
      <c r="F1" s="2" t="s">
        <v>916</v>
      </c>
      <c r="G1" s="2" t="s">
        <v>917</v>
      </c>
      <c r="H1" t="s">
        <v>918</v>
      </c>
      <c r="I1" t="s">
        <v>879</v>
      </c>
    </row>
    <row r="2" spans="1:9" x14ac:dyDescent="0.25">
      <c r="A2" t="s">
        <v>919</v>
      </c>
      <c r="B2" t="s">
        <v>920</v>
      </c>
      <c r="C2" t="s">
        <v>921</v>
      </c>
      <c r="D2" t="s">
        <v>922</v>
      </c>
      <c r="E2">
        <v>40</v>
      </c>
      <c r="F2" s="2">
        <v>12.5</v>
      </c>
      <c r="G2" s="2">
        <v>500</v>
      </c>
      <c r="H2" t="s">
        <v>923</v>
      </c>
      <c r="I2" s="4" t="s">
        <v>975</v>
      </c>
    </row>
    <row r="3" spans="1:9" x14ac:dyDescent="0.25">
      <c r="A3" t="s">
        <v>924</v>
      </c>
      <c r="B3" t="s">
        <v>925</v>
      </c>
      <c r="C3" t="s">
        <v>926</v>
      </c>
      <c r="D3" t="s">
        <v>927</v>
      </c>
      <c r="E3">
        <v>6</v>
      </c>
      <c r="F3" s="2">
        <v>129</v>
      </c>
      <c r="G3" s="2">
        <v>774</v>
      </c>
      <c r="H3" t="s">
        <v>923</v>
      </c>
      <c r="I3" s="4" t="s">
        <v>974</v>
      </c>
    </row>
    <row r="4" spans="1:9" x14ac:dyDescent="0.25">
      <c r="A4" t="s">
        <v>928</v>
      </c>
      <c r="B4" t="s">
        <v>929</v>
      </c>
      <c r="C4" t="s">
        <v>930</v>
      </c>
      <c r="D4" t="s">
        <v>931</v>
      </c>
      <c r="E4">
        <v>1</v>
      </c>
      <c r="F4" s="2">
        <v>85</v>
      </c>
      <c r="G4" s="2">
        <v>85</v>
      </c>
      <c r="H4" t="s">
        <v>923</v>
      </c>
      <c r="I4" s="4" t="s">
        <v>976</v>
      </c>
    </row>
    <row r="5" spans="1:9" x14ac:dyDescent="0.25">
      <c r="A5" t="s">
        <v>932</v>
      </c>
      <c r="B5" t="s">
        <v>933</v>
      </c>
      <c r="C5" t="s">
        <v>934</v>
      </c>
      <c r="D5" t="s">
        <v>922</v>
      </c>
      <c r="E5">
        <v>1</v>
      </c>
      <c r="F5" s="2">
        <v>70</v>
      </c>
      <c r="G5" s="2">
        <v>70</v>
      </c>
      <c r="H5" t="s">
        <v>923</v>
      </c>
      <c r="I5" s="4" t="s">
        <v>977</v>
      </c>
    </row>
    <row r="6" spans="1:9" x14ac:dyDescent="0.25">
      <c r="A6" t="s">
        <v>935</v>
      </c>
      <c r="B6" t="s">
        <v>936</v>
      </c>
      <c r="C6" t="s">
        <v>937</v>
      </c>
      <c r="D6" t="s">
        <v>938</v>
      </c>
      <c r="E6">
        <v>40</v>
      </c>
      <c r="F6" s="2">
        <v>2</v>
      </c>
      <c r="G6" s="2">
        <v>80</v>
      </c>
      <c r="H6" t="s">
        <v>923</v>
      </c>
      <c r="I6" s="4" t="s">
        <v>978</v>
      </c>
    </row>
    <row r="9" spans="1:9" x14ac:dyDescent="0.25">
      <c r="F9" s="2" t="s">
        <v>939</v>
      </c>
      <c r="G9" s="2">
        <v>1509</v>
      </c>
      <c r="H9" t="s">
        <v>923</v>
      </c>
    </row>
  </sheetData>
  <hyperlinks>
    <hyperlink ref="I2" r:id="rId1" xr:uid="{16E1A417-BA52-4312-8343-1D4D43BEE8E2}"/>
    <hyperlink ref="I3" r:id="rId2" xr:uid="{7D03954F-A2DE-4AFB-9209-48517555E1F7}"/>
    <hyperlink ref="I4" r:id="rId3" xr:uid="{D5576D82-2D36-45DA-B45C-BFF2A6BEC57A}"/>
    <hyperlink ref="I5" r:id="rId4" xr:uid="{311E94CB-E749-4690-940E-909D813865A8}"/>
    <hyperlink ref="I6" r:id="rId5" xr:uid="{43464789-ADDA-4130-B36F-825AC205693B}"/>
  </hyperlinks>
  <pageMargins left="0.7" right="0.7" top="0.75" bottom="0.75" header="0.3" footer="0.3"/>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topLeftCell="B1" workbookViewId="0">
      <selection activeCell="G21" sqref="G21"/>
    </sheetView>
  </sheetViews>
  <sheetFormatPr defaultRowHeight="15" x14ac:dyDescent="0.25"/>
  <cols>
    <col min="1" max="1" width="22" bestFit="1" customWidth="1"/>
    <col min="2" max="2" width="15.42578125" bestFit="1" customWidth="1"/>
    <col min="3" max="3" width="22.42578125" bestFit="1" customWidth="1"/>
    <col min="4" max="4" width="47.85546875" bestFit="1" customWidth="1"/>
    <col min="5" max="5" width="11" bestFit="1" customWidth="1"/>
    <col min="6" max="6" width="19.85546875" style="2" bestFit="1" customWidth="1"/>
    <col min="7" max="7" width="19.7109375" style="2" bestFit="1" customWidth="1"/>
    <col min="8" max="8" width="34.7109375" bestFit="1" customWidth="1"/>
  </cols>
  <sheetData>
    <row r="1" spans="1:8" x14ac:dyDescent="0.25">
      <c r="A1" t="s">
        <v>940</v>
      </c>
      <c r="B1" t="s">
        <v>873</v>
      </c>
      <c r="C1" t="s">
        <v>4</v>
      </c>
      <c r="D1" t="s">
        <v>941</v>
      </c>
      <c r="E1" t="s">
        <v>668</v>
      </c>
      <c r="F1" s="2" t="s">
        <v>877</v>
      </c>
      <c r="G1" s="2" t="s">
        <v>917</v>
      </c>
      <c r="H1" t="s">
        <v>879</v>
      </c>
    </row>
    <row r="2" spans="1:8" x14ac:dyDescent="0.25">
      <c r="A2" t="s">
        <v>942</v>
      </c>
      <c r="B2" t="s">
        <v>943</v>
      </c>
      <c r="C2" t="s">
        <v>944</v>
      </c>
      <c r="D2" t="s">
        <v>945</v>
      </c>
      <c r="E2">
        <v>1</v>
      </c>
      <c r="F2" s="2">
        <v>379</v>
      </c>
      <c r="G2" s="2">
        <v>379</v>
      </c>
      <c r="H2" s="4" t="s">
        <v>970</v>
      </c>
    </row>
    <row r="3" spans="1:8" x14ac:dyDescent="0.25">
      <c r="A3" t="s">
        <v>946</v>
      </c>
      <c r="B3" t="s">
        <v>943</v>
      </c>
      <c r="C3" t="s">
        <v>947</v>
      </c>
      <c r="D3" t="s">
        <v>948</v>
      </c>
      <c r="E3">
        <v>1</v>
      </c>
      <c r="F3" s="2">
        <v>399</v>
      </c>
      <c r="G3" s="2">
        <v>399</v>
      </c>
      <c r="H3" s="4" t="s">
        <v>971</v>
      </c>
    </row>
    <row r="4" spans="1:8" x14ac:dyDescent="0.25">
      <c r="A4" t="s">
        <v>949</v>
      </c>
      <c r="B4" t="s">
        <v>943</v>
      </c>
      <c r="C4" t="s">
        <v>950</v>
      </c>
      <c r="D4" t="s">
        <v>951</v>
      </c>
      <c r="E4">
        <v>3</v>
      </c>
      <c r="F4" s="2">
        <v>179</v>
      </c>
      <c r="G4" s="2">
        <v>537</v>
      </c>
      <c r="H4" s="4" t="s">
        <v>972</v>
      </c>
    </row>
    <row r="5" spans="1:8" x14ac:dyDescent="0.25">
      <c r="A5" t="s">
        <v>952</v>
      </c>
      <c r="B5" t="s">
        <v>943</v>
      </c>
      <c r="C5" t="s">
        <v>953</v>
      </c>
      <c r="D5" t="s">
        <v>954</v>
      </c>
      <c r="E5">
        <v>1</v>
      </c>
      <c r="F5" s="2">
        <v>199</v>
      </c>
      <c r="G5" s="2">
        <v>199</v>
      </c>
      <c r="H5" s="4" t="s">
        <v>973</v>
      </c>
    </row>
    <row r="6" spans="1:8" x14ac:dyDescent="0.25">
      <c r="A6" t="s">
        <v>955</v>
      </c>
      <c r="B6" t="s">
        <v>956</v>
      </c>
      <c r="C6" t="s">
        <v>957</v>
      </c>
      <c r="D6" t="s">
        <v>958</v>
      </c>
      <c r="E6">
        <v>3</v>
      </c>
      <c r="F6" s="2">
        <v>325.24</v>
      </c>
      <c r="G6" s="2">
        <v>975.72</v>
      </c>
      <c r="H6" s="4" t="s">
        <v>979</v>
      </c>
    </row>
    <row r="9" spans="1:8" x14ac:dyDescent="0.25">
      <c r="F9" s="2" t="s">
        <v>959</v>
      </c>
      <c r="G9" s="2">
        <v>2489.7199999999998</v>
      </c>
    </row>
  </sheetData>
  <hyperlinks>
    <hyperlink ref="H2" r:id="rId1" xr:uid="{71B61D9D-A813-4B93-94BD-FB2501840737}"/>
    <hyperlink ref="H3" r:id="rId2" xr:uid="{704BAEB3-0A02-4DCB-AF28-FD23A665612C}"/>
    <hyperlink ref="H4" r:id="rId3" xr:uid="{B65BDCBD-1EAF-4762-9D98-A00468AEF699}"/>
    <hyperlink ref="H5" r:id="rId4" xr:uid="{1CBBC499-F055-48C9-AC82-83B9B665895E}"/>
    <hyperlink ref="H6" r:id="rId5" xr:uid="{7059533C-FA54-43C8-B630-879778BC114F}"/>
  </hyperlinks>
  <pageMargins left="0.7" right="0.7" top="0.75" bottom="0.75" header="0.3" footer="0.3"/>
  <tableParts count="1">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
  <sheetViews>
    <sheetView topLeftCell="A4" workbookViewId="0">
      <selection activeCell="B13" sqref="B13"/>
    </sheetView>
  </sheetViews>
  <sheetFormatPr defaultRowHeight="15" x14ac:dyDescent="0.25"/>
  <cols>
    <col min="1" max="1" width="19.140625" bestFit="1" customWidth="1"/>
    <col min="2" max="2" width="16.28515625" bestFit="1" customWidth="1"/>
  </cols>
  <sheetData>
    <row r="1" spans="1:2" x14ac:dyDescent="0.25">
      <c r="A1" t="s">
        <v>960</v>
      </c>
      <c r="B1" t="s">
        <v>961</v>
      </c>
    </row>
    <row r="2" spans="1:2" x14ac:dyDescent="0.25">
      <c r="A2" t="s">
        <v>962</v>
      </c>
      <c r="B2" t="s">
        <v>160</v>
      </c>
    </row>
    <row r="3" spans="1:2" x14ac:dyDescent="0.25">
      <c r="A3" t="s">
        <v>963</v>
      </c>
      <c r="B3" t="s">
        <v>183</v>
      </c>
    </row>
    <row r="4" spans="1:2" x14ac:dyDescent="0.25">
      <c r="A4" t="s">
        <v>964</v>
      </c>
      <c r="B4" t="s">
        <v>206</v>
      </c>
    </row>
    <row r="5" spans="1:2" x14ac:dyDescent="0.25">
      <c r="A5" t="s">
        <v>965</v>
      </c>
      <c r="B5" t="s">
        <v>228</v>
      </c>
    </row>
    <row r="6" spans="1:2" x14ac:dyDescent="0.25">
      <c r="A6" t="s">
        <v>966</v>
      </c>
      <c r="B6" t="s">
        <v>316</v>
      </c>
    </row>
    <row r="7" spans="1:2" x14ac:dyDescent="0.25">
      <c r="A7" t="s">
        <v>967</v>
      </c>
      <c r="B7" t="s">
        <v>250</v>
      </c>
    </row>
    <row r="8" spans="1:2" x14ac:dyDescent="0.25">
      <c r="A8" t="s">
        <v>338</v>
      </c>
      <c r="B8" t="s">
        <v>338</v>
      </c>
    </row>
    <row r="9" spans="1:2" x14ac:dyDescent="0.25">
      <c r="A9" t="s">
        <v>699</v>
      </c>
      <c r="B9" t="s">
        <v>272</v>
      </c>
    </row>
    <row r="10" spans="1:2" x14ac:dyDescent="0.25">
      <c r="A10" t="s">
        <v>739</v>
      </c>
      <c r="B10" t="s">
        <v>93</v>
      </c>
    </row>
    <row r="11" spans="1:2" x14ac:dyDescent="0.25">
      <c r="A11" t="s">
        <v>728</v>
      </c>
      <c r="B11" t="s">
        <v>97</v>
      </c>
    </row>
    <row r="12" spans="1:2" x14ac:dyDescent="0.25">
      <c r="A12" t="s">
        <v>735</v>
      </c>
      <c r="B12" t="s">
        <v>294</v>
      </c>
    </row>
    <row r="13" spans="1:2" x14ac:dyDescent="0.25">
      <c r="A13" t="s">
        <v>712</v>
      </c>
      <c r="B13" t="s">
        <v>117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7477-AD4D-4561-A9EE-1611BC67AB45}">
  <dimension ref="A3:B46"/>
  <sheetViews>
    <sheetView topLeftCell="C4" workbookViewId="0">
      <selection activeCell="B4" sqref="B4"/>
    </sheetView>
  </sheetViews>
  <sheetFormatPr defaultRowHeight="15" x14ac:dyDescent="0.25"/>
  <cols>
    <col min="1" max="1" width="14.28515625" bestFit="1" customWidth="1"/>
    <col min="2" max="6" width="24.28515625" bestFit="1" customWidth="1"/>
    <col min="7" max="97" width="11.42578125" bestFit="1" customWidth="1"/>
    <col min="98" max="98" width="11.28515625" bestFit="1" customWidth="1"/>
    <col min="99" max="123" width="14.140625" bestFit="1" customWidth="1"/>
    <col min="124" max="124" width="17.42578125" bestFit="1" customWidth="1"/>
    <col min="125" max="125" width="11.28515625" bestFit="1" customWidth="1"/>
  </cols>
  <sheetData>
    <row r="3" spans="1:2" x14ac:dyDescent="0.25">
      <c r="A3" s="9" t="s">
        <v>607</v>
      </c>
      <c r="B3" t="s">
        <v>969</v>
      </c>
    </row>
    <row r="4" spans="1:2" x14ac:dyDescent="0.25">
      <c r="A4" t="s">
        <v>641</v>
      </c>
      <c r="B4" s="2">
        <v>1941.3</v>
      </c>
    </row>
    <row r="5" spans="1:2" x14ac:dyDescent="0.25">
      <c r="A5" t="s">
        <v>628</v>
      </c>
      <c r="B5" s="2">
        <v>2024.8000000000002</v>
      </c>
    </row>
    <row r="6" spans="1:2" x14ac:dyDescent="0.25">
      <c r="A6" t="s">
        <v>643</v>
      </c>
      <c r="B6" s="2">
        <v>2034.9</v>
      </c>
    </row>
    <row r="7" spans="1:2" x14ac:dyDescent="0.25">
      <c r="A7" t="s">
        <v>626</v>
      </c>
      <c r="B7" s="2">
        <v>2295.9</v>
      </c>
    </row>
    <row r="8" spans="1:2" x14ac:dyDescent="0.25">
      <c r="A8" t="s">
        <v>613</v>
      </c>
      <c r="B8" s="2">
        <v>2317.15</v>
      </c>
    </row>
    <row r="9" spans="1:2" x14ac:dyDescent="0.25">
      <c r="A9" t="s">
        <v>630</v>
      </c>
      <c r="B9" s="2">
        <v>2363.15</v>
      </c>
    </row>
    <row r="10" spans="1:2" x14ac:dyDescent="0.25">
      <c r="A10" t="s">
        <v>636</v>
      </c>
      <c r="B10" s="2">
        <v>2501</v>
      </c>
    </row>
    <row r="11" spans="1:2" x14ac:dyDescent="0.25">
      <c r="A11" t="s">
        <v>638</v>
      </c>
      <c r="B11" s="2">
        <v>3862.45</v>
      </c>
    </row>
    <row r="12" spans="1:2" x14ac:dyDescent="0.25">
      <c r="A12" t="s">
        <v>647</v>
      </c>
      <c r="B12" s="2">
        <v>4887.0500000000011</v>
      </c>
    </row>
    <row r="13" spans="1:2" x14ac:dyDescent="0.25">
      <c r="A13" t="s">
        <v>658</v>
      </c>
      <c r="B13" s="2">
        <v>6469.55</v>
      </c>
    </row>
    <row r="14" spans="1:2" x14ac:dyDescent="0.25">
      <c r="A14" t="s">
        <v>912</v>
      </c>
      <c r="B14" s="2">
        <v>30697.250000000004</v>
      </c>
    </row>
    <row r="24" spans="1:2" x14ac:dyDescent="0.25">
      <c r="A24" s="9" t="s">
        <v>1</v>
      </c>
      <c r="B24" t="s">
        <v>969</v>
      </c>
    </row>
    <row r="25" spans="1:2" x14ac:dyDescent="0.25">
      <c r="A25" t="s">
        <v>55</v>
      </c>
      <c r="B25" s="2">
        <v>4682.7999999999993</v>
      </c>
    </row>
    <row r="26" spans="1:2" x14ac:dyDescent="0.25">
      <c r="A26" t="s">
        <v>58</v>
      </c>
      <c r="B26" s="2">
        <v>6519.3000000000011</v>
      </c>
    </row>
    <row r="27" spans="1:2" x14ac:dyDescent="0.25">
      <c r="A27" t="s">
        <v>37</v>
      </c>
      <c r="B27" s="2">
        <v>2441.7000000000003</v>
      </c>
    </row>
    <row r="28" spans="1:2" x14ac:dyDescent="0.25">
      <c r="A28" t="s">
        <v>39</v>
      </c>
      <c r="B28" s="2">
        <v>2295.9</v>
      </c>
    </row>
    <row r="29" spans="1:2" x14ac:dyDescent="0.25">
      <c r="A29" t="s">
        <v>42</v>
      </c>
      <c r="B29" s="2">
        <v>4360.5</v>
      </c>
    </row>
    <row r="30" spans="1:2" x14ac:dyDescent="0.25">
      <c r="A30" t="s">
        <v>50</v>
      </c>
      <c r="B30" s="2">
        <v>2211.3000000000002</v>
      </c>
    </row>
    <row r="31" spans="1:2" x14ac:dyDescent="0.25">
      <c r="A31" t="s">
        <v>16</v>
      </c>
      <c r="B31" s="2">
        <v>4481.5</v>
      </c>
    </row>
    <row r="32" spans="1:2" x14ac:dyDescent="0.25">
      <c r="A32" t="s">
        <v>26</v>
      </c>
      <c r="B32" s="2">
        <v>1939.7</v>
      </c>
    </row>
    <row r="33" spans="1:2" x14ac:dyDescent="0.25">
      <c r="A33" t="s">
        <v>30</v>
      </c>
      <c r="B33" s="2">
        <v>5367</v>
      </c>
    </row>
    <row r="34" spans="1:2" x14ac:dyDescent="0.25">
      <c r="A34" t="s">
        <v>60</v>
      </c>
      <c r="B34" s="2">
        <v>1423.8</v>
      </c>
    </row>
    <row r="35" spans="1:2" x14ac:dyDescent="0.25">
      <c r="A35" t="s">
        <v>912</v>
      </c>
      <c r="B35" s="2">
        <v>35723.5</v>
      </c>
    </row>
    <row r="42" spans="1:2" x14ac:dyDescent="0.25">
      <c r="A42" s="9" t="s">
        <v>672</v>
      </c>
      <c r="B42" t="s">
        <v>969</v>
      </c>
    </row>
    <row r="43" spans="1:2" x14ac:dyDescent="0.25">
      <c r="A43" t="s">
        <v>693</v>
      </c>
      <c r="B43" s="2">
        <v>103822.45</v>
      </c>
    </row>
    <row r="44" spans="1:2" x14ac:dyDescent="0.25">
      <c r="A44" t="s">
        <v>679</v>
      </c>
      <c r="B44" s="2">
        <v>65027.650000000009</v>
      </c>
    </row>
    <row r="45" spans="1:2" x14ac:dyDescent="0.25">
      <c r="A45" t="s">
        <v>675</v>
      </c>
      <c r="B45" s="2">
        <v>80068.499999999971</v>
      </c>
    </row>
    <row r="46" spans="1:2" x14ac:dyDescent="0.25">
      <c r="A46" t="s">
        <v>912</v>
      </c>
      <c r="B46" s="2">
        <v>248918.59999999998</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Customers</vt:lpstr>
      <vt:lpstr>Employees</vt:lpstr>
      <vt:lpstr>Inventory</vt:lpstr>
      <vt:lpstr>Sales</vt:lpstr>
      <vt:lpstr>Hardware Invoice</vt:lpstr>
      <vt:lpstr>Software Invoice</vt:lpstr>
      <vt:lpstr>Network Invoice</vt:lpstr>
      <vt:lpstr>SKU_Map</vt:lpstr>
      <vt:lpstr>Pivot_Charts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Caligan</dc:creator>
  <cp:lastModifiedBy>Todd Caligan</cp:lastModifiedBy>
  <dcterms:created xsi:type="dcterms:W3CDTF">2026-03-18T01:10:45Z</dcterms:created>
  <dcterms:modified xsi:type="dcterms:W3CDTF">2026-05-04T00:45:35Z</dcterms:modified>
</cp:coreProperties>
</file>